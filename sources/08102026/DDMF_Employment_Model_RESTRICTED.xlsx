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jects" sheetId="2" state="visible" r:id="rId4"/>
    <sheet name="By year" sheetId="3" state="visible" r:id="rId5"/>
    <sheet name="By clu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<sst xmlns="http://schemas.openxmlformats.org/spreadsheetml/2006/main" count="254" uniqueCount="177">
  <si>
    <t xml:space="preserve">DDMF RKAP 2026 projects: employment model — assumptions (RESTRICTED: uses DDMF RKAP 2026 data)</t>
  </si>
  <si>
    <t xml:space="preserve">Blue = input you can change; black = formula; green = link to another sheet. Yellow cells are key assumptions.</t>
  </si>
  <si>
    <t xml:space="preserve">Build phase: job-years per Rp 1 trillion of investment (Type I = direct + indirect), 2025 prices</t>
  </si>
  <si>
    <t xml:space="preserve">Category</t>
  </si>
  <si>
    <t xml:space="preserve">Code</t>
  </si>
  <si>
    <t xml:space="preserve">ERIA PSN job-years per Rp 1 bn (2016–22 prices)</t>
  </si>
  <si>
    <t xml:space="preserve">Price rebase factor</t>
  </si>
  <si>
    <t xml:space="preserve">Uplift factor</t>
  </si>
  <si>
    <t xml:space="preserve">Type-I job-years per Rp 1 T</t>
  </si>
  <si>
    <t xml:space="preserve">Direct share of Type I</t>
  </si>
  <si>
    <t xml:space="preserve">Source / note</t>
  </si>
  <si>
    <t xml:space="preserve">Civil works (sea wall, water, urban, parks)</t>
  </si>
  <si>
    <t xml:space="preserve">CIV</t>
  </si>
  <si>
    <t xml:space="preserve">ERIA (2023) Table 5.5, roads &amp; bridges</t>
  </si>
  <si>
    <t xml:space="preserve">Buildings (housing, schools, campus)</t>
  </si>
  <si>
    <t xml:space="preserve">BLD</t>
  </si>
  <si>
    <t xml:space="preserve">Roads coefficient +15% for more labour-intensive building work (author's assumption)</t>
  </si>
  <si>
    <t xml:space="preserve">Industry / manufacturing plants</t>
  </si>
  <si>
    <t xml:space="preserve">IND</t>
  </si>
  <si>
    <t xml:space="preserve">ERIA (2023) Table 5.5, industrial zones</t>
  </si>
  <si>
    <t xml:space="preserve">Power and waste-to-energy</t>
  </si>
  <si>
    <t xml:space="preserve">PWR</t>
  </si>
  <si>
    <t xml:space="preserve">ERIA (2023) Table 5.5, electricity</t>
  </si>
  <si>
    <t xml:space="preserve">Solar PV (modules largely imported)</t>
  </si>
  <si>
    <t xml:space="preserve">PV</t>
  </si>
  <si>
    <t xml:space="preserve">Electricity coefficient −20% for imported modules (author's assumption)</t>
  </si>
  <si>
    <t xml:space="preserve">Smelters, refining, petrochemicals</t>
  </si>
  <si>
    <t xml:space="preserve">SML</t>
  </si>
  <si>
    <t xml:space="preserve">ERIA (2023) Table 5.5, smelters</t>
  </si>
  <si>
    <t xml:space="preserve">Technology and digital</t>
  </si>
  <si>
    <t xml:space="preserve">TEC</t>
  </si>
  <si>
    <t xml:space="preserve">ERIA (2023) Table 5.5, technology</t>
  </si>
  <si>
    <t xml:space="preserve">Price rebase</t>
  </si>
  <si>
    <t xml:space="preserve">GDP per worker 2019 (Rp million)</t>
  </si>
  <si>
    <t xml:space="preserve">BPS: nominal GDP 2019 Rp 15,833.9 T ÷ 126.51 m employed (Aug 2019)</t>
  </si>
  <si>
    <t xml:space="preserve">GDP per worker 2025 (Rp million)</t>
  </si>
  <si>
    <t xml:space="preserve">BPS: nominal GDP 2025 Rp 23,821.1 T ÷ 146.54 m employed (Aug 2025)</t>
  </si>
  <si>
    <t xml:space="preserve">Rebase factor (2025 ÷ 2019)</t>
  </si>
  <si>
    <t xml:space="preserve">Multipliers</t>
  </si>
  <si>
    <t xml:space="preserve">Induced jobs as share of Type-I jobs</t>
  </si>
  <si>
    <t xml:space="preserve">Household spending of wages; Type II/Type I ratios of 1.3–1.5 are typical (author's assumption)</t>
  </si>
  <si>
    <t xml:space="preserve">Indirect operating jobs per direct operating job</t>
  </si>
  <si>
    <t xml:space="preserve">Supply chains of operating plants (author's assumption)</t>
  </si>
  <si>
    <t xml:space="preserve">Labour market (BPS Sakernas)</t>
  </si>
  <si>
    <t xml:space="preserve">Labour force, Feb 2026 (million)</t>
  </si>
  <si>
    <t xml:space="preserve">Employed 147.67 m + unemployed 7.24 m (BPS, Feb 2026)</t>
  </si>
  <si>
    <t xml:space="preserve">Unemployed, Feb 2026 (million)</t>
  </si>
  <si>
    <t xml:space="preserve">Open unemployment rate, Feb 2026</t>
  </si>
  <si>
    <t xml:space="preserve">BPS reports 4.68%</t>
  </si>
  <si>
    <t xml:space="preserve">Labour-force growth a year</t>
  </si>
  <si>
    <t xml:space="preserve">Feb 2025 → Feb 2026 (BPS)</t>
  </si>
  <si>
    <t xml:space="preserve">Share of extra jobs that reduce open unemployment</t>
  </si>
  <si>
    <t xml:space="preserve">Central 40% (range 25–55%): the rest go to new entrants, returning workers, the 10.7 m underemployed and job-switchers (author's assumption)</t>
  </si>
  <si>
    <t xml:space="preserve">Project</t>
  </si>
  <si>
    <t xml:space="preserve">Cluster</t>
  </si>
  <si>
    <t xml:space="preserve">Investment (Rp T)</t>
  </si>
  <si>
    <t xml:space="preserve">Start</t>
  </si>
  <si>
    <t xml:space="preserve">End</t>
  </si>
  <si>
    <t xml:space="preserve">Domestic-content adj.</t>
  </si>
  <si>
    <t xml:space="preserve">Direct share</t>
  </si>
  <si>
    <t xml:space="preserve">Direct job-years</t>
  </si>
  <si>
    <t xml:space="preserve">Indirect job-years</t>
  </si>
  <si>
    <t xml:space="preserve">Induced job-years</t>
  </si>
  <si>
    <t xml:space="preserve">Total job-years (build)</t>
  </si>
  <si>
    <t xml:space="preserve">Jobs a year during build</t>
  </si>
  <si>
    <t xml:space="preserve">Permanent direct jobs per Rp 1 T</t>
  </si>
  <si>
    <t xml:space="preserve">Permanent direct jobs</t>
  </si>
  <si>
    <t xml:space="preserve">Permanent indirect + induced jobs</t>
  </si>
  <si>
    <t xml:space="preserve">Permanent jobs (total)</t>
  </si>
  <si>
    <t xml:space="preserve">Labour note</t>
  </si>
  <si>
    <t xml:space="preserve">CDME (coal to DME)</t>
  </si>
  <si>
    <t xml:space="preserve">NR</t>
  </si>
  <si>
    <t xml:space="preserve">Capital-intensive gasification plant; few operators</t>
  </si>
  <si>
    <t xml:space="preserve">PLTS 100 GW (solar)</t>
  </si>
  <si>
    <t xml:space="preserve">Installation labour is significant; modules largely imported; O&amp;M light</t>
  </si>
  <si>
    <t xml:space="preserve">Refinery</t>
  </si>
  <si>
    <t xml:space="preserve">Very capital-intensive; skilled operators</t>
  </si>
  <si>
    <t xml:space="preserve">CPE (assumed petrochemical)</t>
  </si>
  <si>
    <t xml:space="preserve">Petrochemical complex; capital-intensive</t>
  </si>
  <si>
    <t xml:space="preserve">Biodiesel</t>
  </si>
  <si>
    <t xml:space="preserve">Plant jobs plus feedstock logistics; plantation jobs mostly existing</t>
  </si>
  <si>
    <t xml:space="preserve">Legacy waste – landfill mining</t>
  </si>
  <si>
    <t xml:space="preserve">Labour-intensive sorting and excavation</t>
  </si>
  <si>
    <t xml:space="preserve">Legacy waste – RDF</t>
  </si>
  <si>
    <t xml:space="preserve">Sorting and processing lines</t>
  </si>
  <si>
    <t xml:space="preserve">Fishing-village food security</t>
  </si>
  <si>
    <t xml:space="preserve">Cold chains, boats, processing: many small jobs, part upgrading existing work</t>
  </si>
  <si>
    <t xml:space="preserve">Silica</t>
  </si>
  <si>
    <t xml:space="preserve">Mining and processing of silica sand</t>
  </si>
  <si>
    <t xml:space="preserve">Copper</t>
  </si>
  <si>
    <t xml:space="preserve">Processing; Danantara/IMIP benchmark 130–170 per Rp 1 T</t>
  </si>
  <si>
    <t xml:space="preserve">Project Anoa (rare earths)</t>
  </si>
  <si>
    <t xml:space="preserve">Small processing pilot</t>
  </si>
  <si>
    <t xml:space="preserve">Project Tarsius Ph.1 (rare earths)</t>
  </si>
  <si>
    <t xml:space="preserve">Processing; benchmark 130–170 per Rp 1 T</t>
  </si>
  <si>
    <t xml:space="preserve">Al, Fe, Ni, Mn metals</t>
  </si>
  <si>
    <t xml:space="preserve">Smelters; IMIP 129 and Danantara 168 jobs per Rp 1 T</t>
  </si>
  <si>
    <t xml:space="preserve">Decentralised waste</t>
  </si>
  <si>
    <t xml:space="preserve">INF</t>
  </si>
  <si>
    <t xml:space="preserve">Community-scale waste facilities; labour-intensive</t>
  </si>
  <si>
    <t xml:space="preserve">Centralised water</t>
  </si>
  <si>
    <t xml:space="preserve">Pipes, treatment plants; utility O&amp;M</t>
  </si>
  <si>
    <t xml:space="preserve">Giant Sea Wall</t>
  </si>
  <si>
    <t xml:space="preserve">Very labour-intensive civil works; few operating jobs</t>
  </si>
  <si>
    <t xml:space="preserve">Affordable housing</t>
  </si>
  <si>
    <t xml:space="preserve">Most labour-intensive building work; maintenance only afterwards</t>
  </si>
  <si>
    <t xml:space="preserve">Sovereign data centre</t>
  </si>
  <si>
    <t xml:space="preserve">Equipment imported; small skilled staff</t>
  </si>
  <si>
    <t xml:space="preserve">National sovereign AI</t>
  </si>
  <si>
    <t xml:space="preserve">Compute imported; small skilled staff</t>
  </si>
  <si>
    <t xml:space="preserve">Quantum computing</t>
  </si>
  <si>
    <t xml:space="preserve">Research staff</t>
  </si>
  <si>
    <t xml:space="preserve">10 smart cities</t>
  </si>
  <si>
    <t xml:space="preserve">Urban works; city services</t>
  </si>
  <si>
    <t xml:space="preserve">Tech Corridor</t>
  </si>
  <si>
    <t xml:space="preserve">Industrial/tech park; tenant jobs depend on investors</t>
  </si>
  <si>
    <t xml:space="preserve">STEM university</t>
  </si>
  <si>
    <t xml:space="preserve">Campus construction; academic and support staff</t>
  </si>
  <si>
    <t xml:space="preserve">500 schools</t>
  </si>
  <si>
    <t xml:space="preserve">School construction; teachers and staff (part redeployed)</t>
  </si>
  <si>
    <t xml:space="preserve">Athens (naval PPP) †</t>
  </si>
  <si>
    <t xml:space="preserve">DEF</t>
  </si>
  <si>
    <t xml:space="preserve">Naval platforms; import content high; maintenance jobs</t>
  </si>
  <si>
    <t xml:space="preserve">Alutsista</t>
  </si>
  <si>
    <t xml:space="preserve">Mostly imported equipment</t>
  </si>
  <si>
    <t xml:space="preserve">Shipyard &amp; ship components</t>
  </si>
  <si>
    <t xml:space="preserve">Shipbuilding is labour-intensive; SME suppliers (DOCK-UP)</t>
  </si>
  <si>
    <t xml:space="preserve">EV Power Pack (maritime)</t>
  </si>
  <si>
    <t xml:space="preserve">Assembly</t>
  </si>
  <si>
    <t xml:space="preserve">Drone</t>
  </si>
  <si>
    <t xml:space="preserve">National space programme</t>
  </si>
  <si>
    <t xml:space="preserve">Engineers and technicians</t>
  </si>
  <si>
    <t xml:space="preserve">MOBNAS &amp; MOLINAS</t>
  </si>
  <si>
    <t xml:space="preserve">Vehicle assembly and component suppliers</t>
  </si>
  <si>
    <t xml:space="preserve">Textile ecosystem</t>
  </si>
  <si>
    <t xml:space="preserve">OTH</t>
  </si>
  <si>
    <t xml:space="preserve">Very labour-intensive; largely jobs preserved if mills are restructured</t>
  </si>
  <si>
    <t xml:space="preserve">Biosimilar &amp; pharma</t>
  </si>
  <si>
    <t xml:space="preserve">Skilled manufacturing</t>
  </si>
  <si>
    <t xml:space="preserve">Semiconductors</t>
  </si>
  <si>
    <t xml:space="preserve">Assembly and test (OSAT) is labour-intensive</t>
  </si>
  <si>
    <t xml:space="preserve">E-commerce</t>
  </si>
  <si>
    <t xml:space="preserve">Platform and logistics staff</t>
  </si>
  <si>
    <t xml:space="preserve">Total (35 costed projects)</t>
  </si>
  <si>
    <t xml:space="preserve">Five further projects (IMX, ERP Merah Putih, electric stoves, high-speed rail, Trans-Sumatra toll road) have no RKAP cost and are excluded.</t>
  </si>
  <si>
    <t xml:space="preserve">Permanent operating jobs per Rp 1 T: benchmarks — IMIP Morowali 89,849 workers on Rp 697 T (≈129); Danantara 26 downstream projects 37,833 jobs on Rp 225 T (≈168); others are author's assumptions noted per row.</t>
  </si>
  <si>
    <t xml:space="preserve">Year</t>
  </si>
  <si>
    <t xml:space="preserve">Direct (build)</t>
  </si>
  <si>
    <t xml:space="preserve">Indirect (build)</t>
  </si>
  <si>
    <t xml:space="preserve">Induced (build)</t>
  </si>
  <si>
    <t xml:space="preserve">Build total</t>
  </si>
  <si>
    <t xml:space="preserve">Permanent (operating)</t>
  </si>
  <si>
    <t xml:space="preserve">All jobs supported</t>
  </si>
  <si>
    <t xml:space="preserve">Labour force (m)</t>
  </si>
  <si>
    <t xml:space="preserve">Fall in open unemployment (pp)</t>
  </si>
  <si>
    <t xml:space="preserve">Open unemployment rate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</si>
  <si>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</si>
  <si>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</si>
  <si>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</si>
  <si>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</si>
  <si>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</si>
  <si>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</si>
  <si>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</si>
  <si>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</si>
  <si>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</si>
  <si>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</si>
  <si>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</si>
  <si>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</si>
  <si>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</si>
  <si>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</si>
  <si>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Gross jobs supported, not net of displacement. The fall in open unemployment applies the pass-through share in Assumptions; it compares with a baseline where the rate stays at its Feb 2026 level.</t>
  </si>
  <si>
    <t xml:space="preserve">Job-years per Rp 1 T</t>
  </si>
  <si>
    <t xml:space="preserve">Natural resources</t>
  </si>
  <si>
    <t xml:space="preserve">Infrastructure</t>
  </si>
  <si>
    <t xml:space="preserve">Defence</t>
  </si>
  <si>
    <t xml:space="preserve">Others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</si>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</sst>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%"/>
    <numFmt numFmtId="167" formatCode="#,##0.0"/>
    <numFmt numFmtId="168" formatCode="0.00"/>
    <numFmt numFmtId="169" formatCode="#,##0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48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8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90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</row>
    <row r="5" customFormat="false" ht="39.5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s">
        <v>11</v>
      </c>
      <c r="B6" s="6" t="s">
        <v>12</v>
      </c>
      <c r="C6" s="7" t="n">
        <v>5.7</v>
      </c>
      <c r="D6" s="2" t="n">
        <f aca="false">$C$17</f>
        <v>1.29872204472843</v>
      </c>
      <c r="E6" s="7" t="n">
        <v>1</v>
      </c>
      <c r="F6" s="6" t="n">
        <f aca="false">C6*1000/D6*E6</f>
        <v>4388.92988929889</v>
      </c>
      <c r="G6" s="8" t="n">
        <v>0.55</v>
      </c>
      <c r="H6" s="6" t="s">
        <v>13</v>
      </c>
    </row>
    <row r="7" customFormat="false" ht="15" hidden="false" customHeight="false" outlineLevel="0" collapsed="false">
      <c r="A7" s="6" t="s">
        <v>14</v>
      </c>
      <c r="B7" s="6" t="s">
        <v>15</v>
      </c>
      <c r="C7" s="7" t="n">
        <v>5.7</v>
      </c>
      <c r="D7" s="2" t="n">
        <f aca="false">$C$17</f>
        <v>1.29872204472843</v>
      </c>
      <c r="E7" s="7" t="n">
        <v>1.15</v>
      </c>
      <c r="F7" s="6" t="n">
        <f aca="false">C7*1000/D7*E7</f>
        <v>5047.26937269373</v>
      </c>
      <c r="G7" s="8" t="n">
        <v>0.58</v>
      </c>
      <c r="H7" s="6" t="s">
        <v>16</v>
      </c>
    </row>
    <row r="8" customFormat="false" ht="15" hidden="false" customHeight="false" outlineLevel="0" collapsed="false">
      <c r="A8" s="6" t="s">
        <v>17</v>
      </c>
      <c r="B8" s="6" t="s">
        <v>18</v>
      </c>
      <c r="C8" s="7" t="n">
        <v>5.54</v>
      </c>
      <c r="D8" s="2" t="n">
        <f aca="false">$C$17</f>
        <v>1.29872204472843</v>
      </c>
      <c r="E8" s="7" t="n">
        <v>1</v>
      </c>
      <c r="F8" s="6" t="n">
        <f aca="false">C8*1000/D8*E8</f>
        <v>4265.73185731857</v>
      </c>
      <c r="G8" s="8" t="n">
        <v>0.45</v>
      </c>
      <c r="H8" s="6" t="s">
        <v>19</v>
      </c>
    </row>
    <row r="9" customFormat="false" ht="15" hidden="false" customHeight="false" outlineLevel="0" collapsed="false">
      <c r="A9" s="6" t="s">
        <v>20</v>
      </c>
      <c r="B9" s="6" t="s">
        <v>21</v>
      </c>
      <c r="C9" s="7" t="n">
        <v>5.54</v>
      </c>
      <c r="D9" s="2" t="n">
        <f aca="false">$C$17</f>
        <v>1.29872204472843</v>
      </c>
      <c r="E9" s="7" t="n">
        <v>1</v>
      </c>
      <c r="F9" s="6" t="n">
        <f aca="false">C9*1000/D9*E9</f>
        <v>4265.73185731857</v>
      </c>
      <c r="G9" s="8" t="n">
        <v>0.45</v>
      </c>
      <c r="H9" s="6" t="s">
        <v>22</v>
      </c>
    </row>
    <row r="10" customFormat="false" ht="15" hidden="false" customHeight="false" outlineLevel="0" collapsed="false">
      <c r="A10" s="6" t="s">
        <v>23</v>
      </c>
      <c r="B10" s="6" t="s">
        <v>24</v>
      </c>
      <c r="C10" s="7" t="n">
        <v>5.54</v>
      </c>
      <c r="D10" s="2" t="n">
        <f aca="false">$C$17</f>
        <v>1.29872204472843</v>
      </c>
      <c r="E10" s="7" t="n">
        <v>0.8</v>
      </c>
      <c r="F10" s="6" t="n">
        <f aca="false">C10*1000/D10*E10</f>
        <v>3412.58548585486</v>
      </c>
      <c r="G10" s="8" t="n">
        <v>0.45</v>
      </c>
      <c r="H10" s="6" t="s">
        <v>25</v>
      </c>
    </row>
    <row r="11" customFormat="false" ht="15" hidden="false" customHeight="false" outlineLevel="0" collapsed="false">
      <c r="A11" s="6" t="s">
        <v>26</v>
      </c>
      <c r="B11" s="6" t="s">
        <v>27</v>
      </c>
      <c r="C11" s="7" t="n">
        <v>3.71</v>
      </c>
      <c r="D11" s="2" t="n">
        <f aca="false">$C$17</f>
        <v>1.29872204472843</v>
      </c>
      <c r="E11" s="7" t="n">
        <v>1</v>
      </c>
      <c r="F11" s="6" t="n">
        <f aca="false">C11*1000/D11*E11</f>
        <v>2856.65436654367</v>
      </c>
      <c r="G11" s="8" t="n">
        <v>0.4</v>
      </c>
      <c r="H11" s="6" t="s">
        <v>28</v>
      </c>
    </row>
    <row r="12" customFormat="false" ht="15" hidden="false" customHeight="false" outlineLevel="0" collapsed="false">
      <c r="A12" s="6" t="s">
        <v>29</v>
      </c>
      <c r="B12" s="6" t="s">
        <v>30</v>
      </c>
      <c r="C12" s="7" t="n">
        <v>4.3</v>
      </c>
      <c r="D12" s="2" t="n">
        <f aca="false">$C$17</f>
        <v>1.29872204472843</v>
      </c>
      <c r="E12" s="7" t="n">
        <v>1</v>
      </c>
      <c r="F12" s="6" t="n">
        <f aca="false">C12*1000/D12*E12</f>
        <v>3310.9471094711</v>
      </c>
      <c r="G12" s="8" t="n">
        <v>0.4</v>
      </c>
      <c r="H12" s="6" t="s">
        <v>31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4" t="s">
        <v>32</v>
      </c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 t="s">
        <v>33</v>
      </c>
      <c r="B15" s="2"/>
      <c r="C15" s="7" t="n">
        <v>125.2</v>
      </c>
      <c r="D15" s="2"/>
      <c r="E15" s="2"/>
      <c r="F15" s="2"/>
      <c r="G15" s="2"/>
      <c r="H15" s="2" t="s">
        <v>34</v>
      </c>
    </row>
    <row r="16" customFormat="false" ht="15" hidden="false" customHeight="false" outlineLevel="0" collapsed="false">
      <c r="A16" s="2" t="s">
        <v>35</v>
      </c>
      <c r="B16" s="2"/>
      <c r="C16" s="7" t="n">
        <v>162.6</v>
      </c>
      <c r="D16" s="2"/>
      <c r="E16" s="2"/>
      <c r="F16" s="2"/>
      <c r="G16" s="2"/>
      <c r="H16" s="2" t="s">
        <v>36</v>
      </c>
    </row>
    <row r="17" customFormat="false" ht="15" hidden="false" customHeight="false" outlineLevel="0" collapsed="false">
      <c r="A17" s="2" t="s">
        <v>37</v>
      </c>
      <c r="B17" s="2"/>
      <c r="C17" s="2" t="n">
        <f aca="false">C16/C15</f>
        <v>1.29872204472843</v>
      </c>
      <c r="D17" s="2"/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4" t="s">
        <v>38</v>
      </c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 t="s">
        <v>39</v>
      </c>
      <c r="B20" s="2"/>
      <c r="C20" s="9" t="n">
        <v>0.35</v>
      </c>
      <c r="D20" s="2"/>
      <c r="E20" s="2"/>
      <c r="F20" s="2"/>
      <c r="G20" s="2"/>
      <c r="H20" s="2" t="s">
        <v>40</v>
      </c>
    </row>
    <row r="21" customFormat="false" ht="15" hidden="false" customHeight="false" outlineLevel="0" collapsed="false">
      <c r="A21" s="2" t="s">
        <v>41</v>
      </c>
      <c r="B21" s="2"/>
      <c r="C21" s="8" t="n">
        <v>0.8</v>
      </c>
      <c r="D21" s="2"/>
      <c r="E21" s="2"/>
      <c r="F21" s="2"/>
      <c r="G21" s="2"/>
      <c r="H21" s="2" t="s">
        <v>42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4" t="s">
        <v>43</v>
      </c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 t="s">
        <v>44</v>
      </c>
      <c r="B24" s="2"/>
      <c r="C24" s="7" t="n">
        <v>154.91</v>
      </c>
      <c r="D24" s="2"/>
      <c r="E24" s="2"/>
      <c r="F24" s="2"/>
      <c r="G24" s="2"/>
      <c r="H24" s="2" t="s">
        <v>45</v>
      </c>
    </row>
    <row r="25" customFormat="false" ht="15" hidden="false" customHeight="false" outlineLevel="0" collapsed="false">
      <c r="A25" s="2" t="s">
        <v>46</v>
      </c>
      <c r="B25" s="2"/>
      <c r="C25" s="7" t="n">
        <v>7.24</v>
      </c>
      <c r="D25" s="2"/>
      <c r="E25" s="2"/>
      <c r="F25" s="2"/>
      <c r="G25" s="2"/>
      <c r="H25" s="2"/>
    </row>
    <row r="26" customFormat="false" ht="15" hidden="false" customHeight="false" outlineLevel="0" collapsed="false">
      <c r="A26" s="2" t="s">
        <v>47</v>
      </c>
      <c r="B26" s="2"/>
      <c r="C26" s="10" t="n">
        <f aca="false">C25/C24</f>
        <v>0.0467368149247951</v>
      </c>
      <c r="D26" s="2"/>
      <c r="E26" s="2"/>
      <c r="F26" s="2"/>
      <c r="G26" s="2"/>
      <c r="H26" s="2" t="s">
        <v>48</v>
      </c>
    </row>
    <row r="27" customFormat="false" ht="15" hidden="false" customHeight="false" outlineLevel="0" collapsed="false">
      <c r="A27" s="2" t="s">
        <v>49</v>
      </c>
      <c r="B27" s="2"/>
      <c r="C27" s="11" t="n">
        <v>0.0122</v>
      </c>
      <c r="D27" s="2"/>
      <c r="E27" s="2"/>
      <c r="F27" s="2"/>
      <c r="G27" s="2"/>
      <c r="H27" s="2" t="s">
        <v>50</v>
      </c>
    </row>
    <row r="28" customFormat="false" ht="15" hidden="false" customHeight="false" outlineLevel="0" collapsed="false">
      <c r="A28" s="2" t="s">
        <v>51</v>
      </c>
      <c r="B28" s="2"/>
      <c r="C28" s="9" t="n">
        <v>0.4</v>
      </c>
      <c r="D28" s="2"/>
      <c r="E28" s="2"/>
      <c r="F28" s="2"/>
      <c r="G28" s="2"/>
      <c r="H28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2" min="10" style="0" width="12"/>
    <col collapsed="false" customWidth="true" hidden="false" outlineLevel="0" max="13" min="13" style="0" width="13"/>
    <col collapsed="false" customWidth="true" hidden="false" outlineLevel="0" max="16" min="14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70"/>
  </cols>
  <sheetData>
    <row r="1" customFormat="false" ht="48" hidden="false" customHeight="true" outlineLevel="0" collapsed="false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3</v>
      </c>
      <c r="G1" s="5" t="s">
        <v>58</v>
      </c>
      <c r="H1" s="5" t="s">
        <v>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65</v>
      </c>
      <c r="P1" s="5" t="s">
        <v>66</v>
      </c>
      <c r="Q1" s="5" t="s">
        <v>67</v>
      </c>
      <c r="R1" s="5" t="s">
        <v>68</v>
      </c>
      <c r="S1" s="5" t="s">
        <v>69</v>
      </c>
    </row>
    <row r="2" customFormat="false" ht="15" hidden="false" customHeight="false" outlineLevel="0" collapsed="false">
      <c r="A2" s="12" t="s">
        <v>70</v>
      </c>
      <c r="B2" s="12" t="s">
        <v>71</v>
      </c>
      <c r="C2" s="13" t="n">
        <v>46.28</v>
      </c>
      <c r="D2" s="14" t="n">
        <v>2027</v>
      </c>
      <c r="E2" s="14" t="n">
        <v>2030</v>
      </c>
      <c r="F2" s="14" t="s">
        <v>27</v>
      </c>
      <c r="G2" s="15" t="n">
        <v>1</v>
      </c>
      <c r="H2" s="16" t="n">
        <f aca="false">INDEX(Assumptions!$F$6:$F$12,MATCH(F2,Assumptions!$B$6:$B$12,0))*G2</f>
        <v>2856.65436654367</v>
      </c>
      <c r="I2" s="17" t="n">
        <f aca="false">INDEX(Assumptions!$G$6:$G$12,MATCH(F2,Assumptions!$B$6:$B$12,0))</f>
        <v>0.4</v>
      </c>
      <c r="J2" s="18" t="n">
        <f aca="false">C2*H2*I2</f>
        <v>52882.3856334563</v>
      </c>
      <c r="K2" s="18" t="n">
        <f aca="false">C2*H2*(1-I2)</f>
        <v>79323.5784501845</v>
      </c>
      <c r="L2" s="18" t="n">
        <f aca="false">(J2+K2)*Assumptions!$C$20</f>
        <v>46272.0874292743</v>
      </c>
      <c r="M2" s="18" t="n">
        <f aca="false">J2+K2+L2</f>
        <v>178478.051512915</v>
      </c>
      <c r="N2" s="18" t="n">
        <f aca="false">M2/(E2-D2+1)</f>
        <v>44619.5128782288</v>
      </c>
      <c r="O2" s="19" t="n">
        <v>60</v>
      </c>
      <c r="P2" s="18" t="n">
        <f aca="false">C2*O2</f>
        <v>2776.8</v>
      </c>
      <c r="Q2" s="18" t="n">
        <f aca="false">P2*Assumptions!$C$21+P2*(1+Assumptions!$C$21)*Assumptions!$C$20</f>
        <v>3970.824</v>
      </c>
      <c r="R2" s="18" t="n">
        <f aca="false">P2+Q2</f>
        <v>6747.624</v>
      </c>
      <c r="S2" s="12" t="s">
        <v>72</v>
      </c>
    </row>
    <row r="3" customFormat="false" ht="15" hidden="false" customHeight="false" outlineLevel="0" collapsed="false">
      <c r="A3" s="12" t="s">
        <v>73</v>
      </c>
      <c r="B3" s="12" t="s">
        <v>71</v>
      </c>
      <c r="C3" s="13" t="n">
        <v>231.4</v>
      </c>
      <c r="D3" s="14" t="n">
        <v>2027</v>
      </c>
      <c r="E3" s="14" t="n">
        <v>2030</v>
      </c>
      <c r="F3" s="14" t="s">
        <v>24</v>
      </c>
      <c r="G3" s="15" t="n">
        <v>1</v>
      </c>
      <c r="H3" s="16" t="n">
        <f aca="false">INDEX(Assumptions!$F$6:$F$12,MATCH(F3,Assumptions!$B$6:$B$12,0))*G3</f>
        <v>3412.58548585486</v>
      </c>
      <c r="I3" s="17" t="n">
        <f aca="false">INDEX(Assumptions!$G$6:$G$12,MATCH(F3,Assumptions!$B$6:$B$12,0))</f>
        <v>0.45</v>
      </c>
      <c r="J3" s="18" t="n">
        <f aca="false">C3*H3*I3</f>
        <v>355352.526642066</v>
      </c>
      <c r="K3" s="18" t="n">
        <f aca="false">C3*H3*(1-I3)</f>
        <v>434319.754784748</v>
      </c>
      <c r="L3" s="18" t="n">
        <f aca="false">(J3+K3)*Assumptions!$C$20</f>
        <v>276385.298499385</v>
      </c>
      <c r="M3" s="18" t="n">
        <f aca="false">J3+K3+L3</f>
        <v>1066057.5799262</v>
      </c>
      <c r="N3" s="18" t="n">
        <f aca="false">M3/(E3-D3+1)</f>
        <v>266514.39498155</v>
      </c>
      <c r="O3" s="19" t="n">
        <v>100</v>
      </c>
      <c r="P3" s="18" t="n">
        <f aca="false">C3*O3</f>
        <v>23140</v>
      </c>
      <c r="Q3" s="18" t="n">
        <f aca="false">P3*Assumptions!$C$21+P3*(1+Assumptions!$C$21)*Assumptions!$C$20</f>
        <v>33090.2</v>
      </c>
      <c r="R3" s="18" t="n">
        <f aca="false">P3+Q3</f>
        <v>56230.2</v>
      </c>
      <c r="S3" s="12" t="s">
        <v>74</v>
      </c>
    </row>
    <row r="4" customFormat="false" ht="15" hidden="false" customHeight="false" outlineLevel="0" collapsed="false">
      <c r="A4" s="12" t="s">
        <v>75</v>
      </c>
      <c r="B4" s="12" t="s">
        <v>71</v>
      </c>
      <c r="C4" s="13" t="n">
        <v>40.94</v>
      </c>
      <c r="D4" s="14" t="n">
        <v>2027</v>
      </c>
      <c r="E4" s="14" t="n">
        <v>2032</v>
      </c>
      <c r="F4" s="14" t="s">
        <v>27</v>
      </c>
      <c r="G4" s="15" t="n">
        <v>1</v>
      </c>
      <c r="H4" s="16" t="n">
        <f aca="false">INDEX(Assumptions!$F$6:$F$12,MATCH(F4,Assumptions!$B$6:$B$12,0))*G4</f>
        <v>2856.65436654367</v>
      </c>
      <c r="I4" s="17" t="n">
        <f aca="false">INDEX(Assumptions!$G$6:$G$12,MATCH(F4,Assumptions!$B$6:$B$12,0))</f>
        <v>0.4</v>
      </c>
      <c r="J4" s="18" t="n">
        <f aca="false">C4*H4*I4</f>
        <v>46780.5719065191</v>
      </c>
      <c r="K4" s="18" t="n">
        <f aca="false">C4*H4*(1-I4)</f>
        <v>70170.8578597786</v>
      </c>
      <c r="L4" s="18" t="n">
        <f aca="false">(J4+K4)*Assumptions!$C$20</f>
        <v>40933.0004182042</v>
      </c>
      <c r="M4" s="18" t="n">
        <f aca="false">J4+K4+L4</f>
        <v>157884.430184502</v>
      </c>
      <c r="N4" s="18" t="n">
        <f aca="false">M4/(E4-D4+1)</f>
        <v>26314.071697417</v>
      </c>
      <c r="O4" s="19" t="n">
        <v>40</v>
      </c>
      <c r="P4" s="18" t="n">
        <f aca="false">C4*O4</f>
        <v>1637.6</v>
      </c>
      <c r="Q4" s="18" t="n">
        <f aca="false">P4*Assumptions!$C$21+P4*(1+Assumptions!$C$21)*Assumptions!$C$20</f>
        <v>2341.768</v>
      </c>
      <c r="R4" s="18" t="n">
        <f aca="false">P4+Q4</f>
        <v>3979.368</v>
      </c>
      <c r="S4" s="12" t="s">
        <v>76</v>
      </c>
    </row>
    <row r="5" customFormat="false" ht="15" hidden="false" customHeight="false" outlineLevel="0" collapsed="false">
      <c r="A5" s="12" t="s">
        <v>77</v>
      </c>
      <c r="B5" s="12" t="s">
        <v>71</v>
      </c>
      <c r="C5" s="13" t="n">
        <v>71.2</v>
      </c>
      <c r="D5" s="14" t="n">
        <v>2028</v>
      </c>
      <c r="E5" s="14" t="n">
        <v>2031</v>
      </c>
      <c r="F5" s="14" t="s">
        <v>27</v>
      </c>
      <c r="G5" s="15" t="n">
        <v>1</v>
      </c>
      <c r="H5" s="16" t="n">
        <f aca="false">INDEX(Assumptions!$F$6:$F$12,MATCH(F5,Assumptions!$B$6:$B$12,0))*G5</f>
        <v>2856.65436654367</v>
      </c>
      <c r="I5" s="17" t="n">
        <f aca="false">INDEX(Assumptions!$G$6:$G$12,MATCH(F5,Assumptions!$B$6:$B$12,0))</f>
        <v>0.4</v>
      </c>
      <c r="J5" s="18" t="n">
        <f aca="false">C5*H5*I5</f>
        <v>81357.5163591636</v>
      </c>
      <c r="K5" s="18" t="n">
        <f aca="false">C5*H5*(1-I5)</f>
        <v>122036.274538745</v>
      </c>
      <c r="L5" s="18" t="n">
        <f aca="false">(J5+K5)*Assumptions!$C$20</f>
        <v>71187.8268142682</v>
      </c>
      <c r="M5" s="18" t="n">
        <f aca="false">J5+K5+L5</f>
        <v>274581.617712177</v>
      </c>
      <c r="N5" s="18" t="n">
        <f aca="false">M5/(E5-D5+1)</f>
        <v>68645.4044280443</v>
      </c>
      <c r="O5" s="19" t="n">
        <v>50</v>
      </c>
      <c r="P5" s="18" t="n">
        <f aca="false">C5*O5</f>
        <v>3560</v>
      </c>
      <c r="Q5" s="18" t="n">
        <f aca="false">P5*Assumptions!$C$21+P5*(1+Assumptions!$C$21)*Assumptions!$C$20</f>
        <v>5090.8</v>
      </c>
      <c r="R5" s="18" t="n">
        <f aca="false">P5+Q5</f>
        <v>8650.8</v>
      </c>
      <c r="S5" s="12" t="s">
        <v>78</v>
      </c>
    </row>
    <row r="6" customFormat="false" ht="15" hidden="false" customHeight="false" outlineLevel="0" collapsed="false">
      <c r="A6" s="12" t="s">
        <v>79</v>
      </c>
      <c r="B6" s="12" t="s">
        <v>71</v>
      </c>
      <c r="C6" s="13" t="n">
        <v>75.388</v>
      </c>
      <c r="D6" s="14" t="n">
        <v>2028</v>
      </c>
      <c r="E6" s="14" t="n">
        <v>2031</v>
      </c>
      <c r="F6" s="14" t="s">
        <v>18</v>
      </c>
      <c r="G6" s="15" t="n">
        <v>1</v>
      </c>
      <c r="H6" s="16" t="n">
        <f aca="false">INDEX(Assumptions!$F$6:$F$12,MATCH(F6,Assumptions!$B$6:$B$12,0))*G6</f>
        <v>4265.73185731857</v>
      </c>
      <c r="I6" s="17" t="n">
        <f aca="false">INDEX(Assumptions!$G$6:$G$12,MATCH(F6,Assumptions!$B$6:$B$12,0))</f>
        <v>0.45</v>
      </c>
      <c r="J6" s="18" t="n">
        <f aca="false">C6*H6*I6</f>
        <v>144713.24696679</v>
      </c>
      <c r="K6" s="18" t="n">
        <f aca="false">C6*H6*(1-I6)</f>
        <v>176871.746292743</v>
      </c>
      <c r="L6" s="18" t="n">
        <f aca="false">(J6+K6)*Assumptions!$C$20</f>
        <v>112554.747640836</v>
      </c>
      <c r="M6" s="18" t="n">
        <f aca="false">J6+K6+L6</f>
        <v>434139.740900369</v>
      </c>
      <c r="N6" s="18" t="n">
        <f aca="false">M6/(E6-D6+1)</f>
        <v>108534.935225092</v>
      </c>
      <c r="O6" s="19" t="n">
        <v>120</v>
      </c>
      <c r="P6" s="18" t="n">
        <f aca="false">C6*O6</f>
        <v>9046.56</v>
      </c>
      <c r="Q6" s="18" t="n">
        <f aca="false">P6*Assumptions!$C$21+P6*(1+Assumptions!$C$21)*Assumptions!$C$20</f>
        <v>12936.5808</v>
      </c>
      <c r="R6" s="18" t="n">
        <f aca="false">P6+Q6</f>
        <v>21983.1408</v>
      </c>
      <c r="S6" s="12" t="s">
        <v>80</v>
      </c>
    </row>
    <row r="7" customFormat="false" ht="15" hidden="false" customHeight="false" outlineLevel="0" collapsed="false">
      <c r="A7" s="12" t="s">
        <v>81</v>
      </c>
      <c r="B7" s="12" t="s">
        <v>71</v>
      </c>
      <c r="C7" s="13" t="n">
        <v>6</v>
      </c>
      <c r="D7" s="14" t="n">
        <v>2028</v>
      </c>
      <c r="E7" s="14" t="n">
        <v>2031</v>
      </c>
      <c r="F7" s="14" t="s">
        <v>21</v>
      </c>
      <c r="G7" s="15" t="n">
        <v>1</v>
      </c>
      <c r="H7" s="16" t="n">
        <f aca="false">INDEX(Assumptions!$F$6:$F$12,MATCH(F7,Assumptions!$B$6:$B$12,0))*G7</f>
        <v>4265.73185731857</v>
      </c>
      <c r="I7" s="17" t="n">
        <f aca="false">INDEX(Assumptions!$G$6:$G$12,MATCH(F7,Assumptions!$B$6:$B$12,0))</f>
        <v>0.45</v>
      </c>
      <c r="J7" s="18" t="n">
        <f aca="false">C7*H7*I7</f>
        <v>11517.4760147601</v>
      </c>
      <c r="K7" s="18" t="n">
        <f aca="false">C7*H7*(1-I7)</f>
        <v>14076.9151291513</v>
      </c>
      <c r="L7" s="18" t="n">
        <f aca="false">(J7+K7)*Assumptions!$C$20</f>
        <v>8958.036900369</v>
      </c>
      <c r="M7" s="18" t="n">
        <f aca="false">J7+K7+L7</f>
        <v>34552.4280442804</v>
      </c>
      <c r="N7" s="18" t="n">
        <f aca="false">M7/(E7-D7+1)</f>
        <v>8638.10701107011</v>
      </c>
      <c r="O7" s="19" t="n">
        <v>400</v>
      </c>
      <c r="P7" s="18" t="n">
        <f aca="false">C7*O7</f>
        <v>2400</v>
      </c>
      <c r="Q7" s="18" t="n">
        <f aca="false">P7*Assumptions!$C$21+P7*(1+Assumptions!$C$21)*Assumptions!$C$20</f>
        <v>3432</v>
      </c>
      <c r="R7" s="18" t="n">
        <f aca="false">P7+Q7</f>
        <v>5832</v>
      </c>
      <c r="S7" s="12" t="s">
        <v>82</v>
      </c>
    </row>
    <row r="8" customFormat="false" ht="15" hidden="false" customHeight="false" outlineLevel="0" collapsed="false">
      <c r="A8" s="12" t="s">
        <v>83</v>
      </c>
      <c r="B8" s="12" t="s">
        <v>71</v>
      </c>
      <c r="C8" s="13" t="n">
        <v>6</v>
      </c>
      <c r="D8" s="14" t="n">
        <v>2028</v>
      </c>
      <c r="E8" s="14" t="n">
        <v>2031</v>
      </c>
      <c r="F8" s="14" t="s">
        <v>21</v>
      </c>
      <c r="G8" s="15" t="n">
        <v>1</v>
      </c>
      <c r="H8" s="16" t="n">
        <f aca="false">INDEX(Assumptions!$F$6:$F$12,MATCH(F8,Assumptions!$B$6:$B$12,0))*G8</f>
        <v>4265.73185731857</v>
      </c>
      <c r="I8" s="17" t="n">
        <f aca="false">INDEX(Assumptions!$G$6:$G$12,MATCH(F8,Assumptions!$B$6:$B$12,0))</f>
        <v>0.45</v>
      </c>
      <c r="J8" s="18" t="n">
        <f aca="false">C8*H8*I8</f>
        <v>11517.4760147601</v>
      </c>
      <c r="K8" s="18" t="n">
        <f aca="false">C8*H8*(1-I8)</f>
        <v>14076.9151291513</v>
      </c>
      <c r="L8" s="18" t="n">
        <f aca="false">(J8+K8)*Assumptions!$C$20</f>
        <v>8958.036900369</v>
      </c>
      <c r="M8" s="18" t="n">
        <f aca="false">J8+K8+L8</f>
        <v>34552.4280442804</v>
      </c>
      <c r="N8" s="18" t="n">
        <f aca="false">M8/(E8-D8+1)</f>
        <v>8638.10701107011</v>
      </c>
      <c r="O8" s="19" t="n">
        <v>300</v>
      </c>
      <c r="P8" s="18" t="n">
        <f aca="false">C8*O8</f>
        <v>1800</v>
      </c>
      <c r="Q8" s="18" t="n">
        <f aca="false">P8*Assumptions!$C$21+P8*(1+Assumptions!$C$21)*Assumptions!$C$20</f>
        <v>2574</v>
      </c>
      <c r="R8" s="18" t="n">
        <f aca="false">P8+Q8</f>
        <v>4374</v>
      </c>
      <c r="S8" s="12" t="s">
        <v>84</v>
      </c>
    </row>
    <row r="9" customFormat="false" ht="15" hidden="false" customHeight="false" outlineLevel="0" collapsed="false">
      <c r="A9" s="12" t="s">
        <v>85</v>
      </c>
      <c r="B9" s="12" t="s">
        <v>71</v>
      </c>
      <c r="C9" s="13" t="n">
        <v>83.765</v>
      </c>
      <c r="D9" s="14" t="n">
        <v>2028</v>
      </c>
      <c r="E9" s="14" t="n">
        <v>2031</v>
      </c>
      <c r="F9" s="14" t="s">
        <v>12</v>
      </c>
      <c r="G9" s="15" t="n">
        <v>1</v>
      </c>
      <c r="H9" s="16" t="n">
        <f aca="false">INDEX(Assumptions!$F$6:$F$12,MATCH(F9,Assumptions!$B$6:$B$12,0))*G9</f>
        <v>4388.92988929889</v>
      </c>
      <c r="I9" s="17" t="n">
        <f aca="false">INDEX(Assumptions!$G$6:$G$12,MATCH(F9,Assumptions!$B$6:$B$12,0))</f>
        <v>0.55</v>
      </c>
      <c r="J9" s="18" t="n">
        <f aca="false">C9*H9*I9</f>
        <v>202201.291697417</v>
      </c>
      <c r="K9" s="18" t="n">
        <f aca="false">C9*H9*(1-I9)</f>
        <v>165437.420479705</v>
      </c>
      <c r="L9" s="18" t="n">
        <f aca="false">(J9+K9)*Assumptions!$C$20</f>
        <v>128673.549261993</v>
      </c>
      <c r="M9" s="18" t="n">
        <f aca="false">J9+K9+L9</f>
        <v>496312.261439114</v>
      </c>
      <c r="N9" s="18" t="n">
        <f aca="false">M9/(E9-D9+1)</f>
        <v>124078.065359779</v>
      </c>
      <c r="O9" s="19" t="n">
        <v>1000</v>
      </c>
      <c r="P9" s="18" t="n">
        <f aca="false">C9*O9</f>
        <v>83765</v>
      </c>
      <c r="Q9" s="18" t="n">
        <f aca="false">P9*Assumptions!$C$21+P9*(1+Assumptions!$C$21)*Assumptions!$C$20</f>
        <v>119783.95</v>
      </c>
      <c r="R9" s="18" t="n">
        <f aca="false">P9+Q9</f>
        <v>203548.95</v>
      </c>
      <c r="S9" s="12" t="s">
        <v>86</v>
      </c>
    </row>
    <row r="10" customFormat="false" ht="15" hidden="false" customHeight="false" outlineLevel="0" collapsed="false">
      <c r="A10" s="12" t="s">
        <v>87</v>
      </c>
      <c r="B10" s="12" t="s">
        <v>71</v>
      </c>
      <c r="C10" s="13" t="n">
        <v>8.9</v>
      </c>
      <c r="D10" s="14" t="n">
        <v>2028</v>
      </c>
      <c r="E10" s="14" t="n">
        <v>2031</v>
      </c>
      <c r="F10" s="14" t="s">
        <v>27</v>
      </c>
      <c r="G10" s="15" t="n">
        <v>1</v>
      </c>
      <c r="H10" s="16" t="n">
        <f aca="false">INDEX(Assumptions!$F$6:$F$12,MATCH(F10,Assumptions!$B$6:$B$12,0))*G10</f>
        <v>2856.65436654367</v>
      </c>
      <c r="I10" s="17" t="n">
        <f aca="false">INDEX(Assumptions!$G$6:$G$12,MATCH(F10,Assumptions!$B$6:$B$12,0))</f>
        <v>0.4</v>
      </c>
      <c r="J10" s="18" t="n">
        <f aca="false">C10*H10*I10</f>
        <v>10169.6895448955</v>
      </c>
      <c r="K10" s="18" t="n">
        <f aca="false">C10*H10*(1-I10)</f>
        <v>15254.5343173432</v>
      </c>
      <c r="L10" s="18" t="n">
        <f aca="false">(J10+K10)*Assumptions!$C$20</f>
        <v>8898.47835178352</v>
      </c>
      <c r="M10" s="18" t="n">
        <f aca="false">J10+K10+L10</f>
        <v>34322.7022140221</v>
      </c>
      <c r="N10" s="18" t="n">
        <f aca="false">M10/(E10-D10+1)</f>
        <v>8580.67555350554</v>
      </c>
      <c r="O10" s="19" t="n">
        <v>200</v>
      </c>
      <c r="P10" s="18" t="n">
        <f aca="false">C10*O10</f>
        <v>1780</v>
      </c>
      <c r="Q10" s="18" t="n">
        <f aca="false">P10*Assumptions!$C$21+P10*(1+Assumptions!$C$21)*Assumptions!$C$20</f>
        <v>2545.4</v>
      </c>
      <c r="R10" s="18" t="n">
        <f aca="false">P10+Q10</f>
        <v>4325.4</v>
      </c>
      <c r="S10" s="12" t="s">
        <v>88</v>
      </c>
    </row>
    <row r="11" customFormat="false" ht="15" hidden="false" customHeight="false" outlineLevel="0" collapsed="false">
      <c r="A11" s="12" t="s">
        <v>89</v>
      </c>
      <c r="B11" s="12" t="s">
        <v>71</v>
      </c>
      <c r="C11" s="13" t="n">
        <v>2</v>
      </c>
      <c r="D11" s="14" t="n">
        <v>2028</v>
      </c>
      <c r="E11" s="14" t="n">
        <v>2031</v>
      </c>
      <c r="F11" s="14" t="s">
        <v>27</v>
      </c>
      <c r="G11" s="15" t="n">
        <v>1</v>
      </c>
      <c r="H11" s="16" t="n">
        <f aca="false">INDEX(Assumptions!$F$6:$F$12,MATCH(F11,Assumptions!$B$6:$B$12,0))*G11</f>
        <v>2856.65436654367</v>
      </c>
      <c r="I11" s="17" t="n">
        <f aca="false">INDEX(Assumptions!$G$6:$G$12,MATCH(F11,Assumptions!$B$6:$B$12,0))</f>
        <v>0.4</v>
      </c>
      <c r="J11" s="18" t="n">
        <f aca="false">C11*H11*I11</f>
        <v>2285.32349323493</v>
      </c>
      <c r="K11" s="18" t="n">
        <f aca="false">C11*H11*(1-I11)</f>
        <v>3427.9852398524</v>
      </c>
      <c r="L11" s="18" t="n">
        <f aca="false">(J11+K11)*Assumptions!$C$20</f>
        <v>1999.65805658057</v>
      </c>
      <c r="M11" s="18" t="n">
        <f aca="false">J11+K11+L11</f>
        <v>7712.9667896679</v>
      </c>
      <c r="N11" s="18" t="n">
        <f aca="false">M11/(E11-D11+1)</f>
        <v>1928.24169741697</v>
      </c>
      <c r="O11" s="19" t="n">
        <v>150</v>
      </c>
      <c r="P11" s="18" t="n">
        <f aca="false">C11*O11</f>
        <v>300</v>
      </c>
      <c r="Q11" s="18" t="n">
        <f aca="false">P11*Assumptions!$C$21+P11*(1+Assumptions!$C$21)*Assumptions!$C$20</f>
        <v>429</v>
      </c>
      <c r="R11" s="18" t="n">
        <f aca="false">P11+Q11</f>
        <v>729</v>
      </c>
      <c r="S11" s="12" t="s">
        <v>90</v>
      </c>
    </row>
    <row r="12" customFormat="false" ht="15" hidden="false" customHeight="false" outlineLevel="0" collapsed="false">
      <c r="A12" s="12" t="s">
        <v>91</v>
      </c>
      <c r="B12" s="12" t="s">
        <v>71</v>
      </c>
      <c r="C12" s="13" t="n">
        <v>0.38</v>
      </c>
      <c r="D12" s="14" t="n">
        <v>2027</v>
      </c>
      <c r="E12" s="14" t="n">
        <v>2031</v>
      </c>
      <c r="F12" s="14" t="s">
        <v>27</v>
      </c>
      <c r="G12" s="15" t="n">
        <v>1</v>
      </c>
      <c r="H12" s="16" t="n">
        <f aca="false">INDEX(Assumptions!$F$6:$F$12,MATCH(F12,Assumptions!$B$6:$B$12,0))*G12</f>
        <v>2856.65436654367</v>
      </c>
      <c r="I12" s="17" t="n">
        <f aca="false">INDEX(Assumptions!$G$6:$G$12,MATCH(F12,Assumptions!$B$6:$B$12,0))</f>
        <v>0.4</v>
      </c>
      <c r="J12" s="18" t="n">
        <f aca="false">C12*H12*I12</f>
        <v>434.211463714637</v>
      </c>
      <c r="K12" s="18" t="n">
        <f aca="false">C12*H12*(1-I12)</f>
        <v>651.317195571956</v>
      </c>
      <c r="L12" s="18" t="n">
        <f aca="false">(J12+K12)*Assumptions!$C$20</f>
        <v>379.935030750308</v>
      </c>
      <c r="M12" s="18" t="n">
        <f aca="false">J12+K12+L12</f>
        <v>1465.4636900369</v>
      </c>
      <c r="N12" s="18" t="n">
        <f aca="false">M12/(E12-D12+1)</f>
        <v>293.09273800738</v>
      </c>
      <c r="O12" s="19" t="n">
        <v>150</v>
      </c>
      <c r="P12" s="18" t="n">
        <f aca="false">C12*O12</f>
        <v>57</v>
      </c>
      <c r="Q12" s="18" t="n">
        <f aca="false">P12*Assumptions!$C$21+P12*(1+Assumptions!$C$21)*Assumptions!$C$20</f>
        <v>81.51</v>
      </c>
      <c r="R12" s="18" t="n">
        <f aca="false">P12+Q12</f>
        <v>138.51</v>
      </c>
      <c r="S12" s="12" t="s">
        <v>92</v>
      </c>
    </row>
    <row r="13" customFormat="false" ht="15" hidden="false" customHeight="false" outlineLevel="0" collapsed="false">
      <c r="A13" s="12" t="s">
        <v>93</v>
      </c>
      <c r="B13" s="12" t="s">
        <v>71</v>
      </c>
      <c r="C13" s="13" t="n">
        <v>2.3</v>
      </c>
      <c r="D13" s="14" t="n">
        <v>2029</v>
      </c>
      <c r="E13" s="14" t="n">
        <v>2032</v>
      </c>
      <c r="F13" s="14" t="s">
        <v>27</v>
      </c>
      <c r="G13" s="15" t="n">
        <v>1</v>
      </c>
      <c r="H13" s="16" t="n">
        <f aca="false">INDEX(Assumptions!$F$6:$F$12,MATCH(F13,Assumptions!$B$6:$B$12,0))*G13</f>
        <v>2856.65436654367</v>
      </c>
      <c r="I13" s="17" t="n">
        <f aca="false">INDEX(Assumptions!$G$6:$G$12,MATCH(F13,Assumptions!$B$6:$B$12,0))</f>
        <v>0.4</v>
      </c>
      <c r="J13" s="18" t="n">
        <f aca="false">C13*H13*I13</f>
        <v>2628.12201722017</v>
      </c>
      <c r="K13" s="18" t="n">
        <f aca="false">C13*H13*(1-I13)</f>
        <v>3942.18302583026</v>
      </c>
      <c r="L13" s="18" t="n">
        <f aca="false">(J13+K13)*Assumptions!$C$20</f>
        <v>2299.60676506765</v>
      </c>
      <c r="M13" s="18" t="n">
        <f aca="false">J13+K13+L13</f>
        <v>8869.91180811808</v>
      </c>
      <c r="N13" s="18" t="n">
        <f aca="false">M13/(E13-D13+1)</f>
        <v>2217.47795202952</v>
      </c>
      <c r="O13" s="19" t="n">
        <v>150</v>
      </c>
      <c r="P13" s="18" t="n">
        <f aca="false">C13*O13</f>
        <v>345</v>
      </c>
      <c r="Q13" s="18" t="n">
        <f aca="false">P13*Assumptions!$C$21+P13*(1+Assumptions!$C$21)*Assumptions!$C$20</f>
        <v>493.35</v>
      </c>
      <c r="R13" s="18" t="n">
        <f aca="false">P13+Q13</f>
        <v>838.35</v>
      </c>
      <c r="S13" s="12" t="s">
        <v>94</v>
      </c>
    </row>
    <row r="14" customFormat="false" ht="15" hidden="false" customHeight="false" outlineLevel="0" collapsed="false">
      <c r="A14" s="12" t="s">
        <v>95</v>
      </c>
      <c r="B14" s="12" t="s">
        <v>71</v>
      </c>
      <c r="C14" s="13" t="n">
        <v>73.294</v>
      </c>
      <c r="D14" s="14" t="n">
        <v>2029</v>
      </c>
      <c r="E14" s="14" t="n">
        <v>2031</v>
      </c>
      <c r="F14" s="14" t="s">
        <v>27</v>
      </c>
      <c r="G14" s="15" t="n">
        <v>1</v>
      </c>
      <c r="H14" s="16" t="n">
        <f aca="false">INDEX(Assumptions!$F$6:$F$12,MATCH(F14,Assumptions!$B$6:$B$12,0))*G14</f>
        <v>2856.65436654367</v>
      </c>
      <c r="I14" s="17" t="n">
        <f aca="false">INDEX(Assumptions!$G$6:$G$12,MATCH(F14,Assumptions!$B$6:$B$12,0))</f>
        <v>0.4</v>
      </c>
      <c r="J14" s="18" t="n">
        <f aca="false">C14*H14*I14</f>
        <v>83750.2500565806</v>
      </c>
      <c r="K14" s="18" t="n">
        <f aca="false">C14*H14*(1-I14)</f>
        <v>125625.375084871</v>
      </c>
      <c r="L14" s="18" t="n">
        <f aca="false">(J14+K14)*Assumptions!$C$20</f>
        <v>73281.468799508</v>
      </c>
      <c r="M14" s="18" t="n">
        <f aca="false">J14+K14+L14</f>
        <v>282657.093940959</v>
      </c>
      <c r="N14" s="18" t="n">
        <f aca="false">M14/(E14-D14+1)</f>
        <v>94219.0313136532</v>
      </c>
      <c r="O14" s="19" t="n">
        <v>150</v>
      </c>
      <c r="P14" s="18" t="n">
        <f aca="false">C14*O14</f>
        <v>10994.1</v>
      </c>
      <c r="Q14" s="18" t="n">
        <f aca="false">P14*Assumptions!$C$21+P14*(1+Assumptions!$C$21)*Assumptions!$C$20</f>
        <v>15721.563</v>
      </c>
      <c r="R14" s="18" t="n">
        <f aca="false">P14+Q14</f>
        <v>26715.663</v>
      </c>
      <c r="S14" s="12" t="s">
        <v>96</v>
      </c>
    </row>
    <row r="15" customFormat="false" ht="15" hidden="false" customHeight="false" outlineLevel="0" collapsed="false">
      <c r="A15" s="12" t="s">
        <v>97</v>
      </c>
      <c r="B15" s="12" t="s">
        <v>98</v>
      </c>
      <c r="C15" s="13" t="n">
        <v>4.628</v>
      </c>
      <c r="D15" s="14" t="n">
        <v>2027</v>
      </c>
      <c r="E15" s="14" t="n">
        <v>2031</v>
      </c>
      <c r="F15" s="14" t="s">
        <v>12</v>
      </c>
      <c r="G15" s="15" t="n">
        <v>1</v>
      </c>
      <c r="H15" s="16" t="n">
        <f aca="false">INDEX(Assumptions!$F$6:$F$12,MATCH(F15,Assumptions!$B$6:$B$12,0))*G15</f>
        <v>4388.92988929889</v>
      </c>
      <c r="I15" s="17" t="n">
        <f aca="false">INDEX(Assumptions!$G$6:$G$12,MATCH(F15,Assumptions!$B$6:$B$12,0))</f>
        <v>0.55</v>
      </c>
      <c r="J15" s="18" t="n">
        <f aca="false">C15*H15*I15</f>
        <v>11171.5821402214</v>
      </c>
      <c r="K15" s="18" t="n">
        <f aca="false">C15*H15*(1-I15)</f>
        <v>9140.38538745388</v>
      </c>
      <c r="L15" s="18" t="n">
        <f aca="false">(J15+K15)*Assumptions!$C$20</f>
        <v>7109.18863468635</v>
      </c>
      <c r="M15" s="18" t="n">
        <f aca="false">J15+K15+L15</f>
        <v>27421.1561623616</v>
      </c>
      <c r="N15" s="18" t="n">
        <f aca="false">M15/(E15-D15+1)</f>
        <v>5484.23123247233</v>
      </c>
      <c r="O15" s="19" t="n">
        <v>500</v>
      </c>
      <c r="P15" s="18" t="n">
        <f aca="false">C15*O15</f>
        <v>2314</v>
      </c>
      <c r="Q15" s="18" t="n">
        <f aca="false">P15*Assumptions!$C$21+P15*(1+Assumptions!$C$21)*Assumptions!$C$20</f>
        <v>3309.02</v>
      </c>
      <c r="R15" s="18" t="n">
        <f aca="false">P15+Q15</f>
        <v>5623.02</v>
      </c>
      <c r="S15" s="12" t="s">
        <v>99</v>
      </c>
    </row>
    <row r="16" customFormat="false" ht="15" hidden="false" customHeight="false" outlineLevel="0" collapsed="false">
      <c r="A16" s="12" t="s">
        <v>100</v>
      </c>
      <c r="B16" s="12" t="s">
        <v>98</v>
      </c>
      <c r="C16" s="13" t="n">
        <v>112.245</v>
      </c>
      <c r="D16" s="14" t="n">
        <v>2028</v>
      </c>
      <c r="E16" s="14" t="n">
        <v>2031</v>
      </c>
      <c r="F16" s="14" t="s">
        <v>12</v>
      </c>
      <c r="G16" s="15" t="n">
        <v>1</v>
      </c>
      <c r="H16" s="16" t="n">
        <f aca="false">INDEX(Assumptions!$F$6:$F$12,MATCH(F16,Assumptions!$B$6:$B$12,0))*G16</f>
        <v>4388.92988929889</v>
      </c>
      <c r="I16" s="17" t="n">
        <f aca="false">INDEX(Assumptions!$G$6:$G$12,MATCH(F16,Assumptions!$B$6:$B$12,0))</f>
        <v>0.55</v>
      </c>
      <c r="J16" s="18" t="n">
        <f aca="false">C16*H16*I16</f>
        <v>270949.489483395</v>
      </c>
      <c r="K16" s="18" t="n">
        <f aca="false">C16*H16*(1-I16)</f>
        <v>221685.945940959</v>
      </c>
      <c r="L16" s="18" t="n">
        <f aca="false">(J16+K16)*Assumptions!$C$20</f>
        <v>172422.402398524</v>
      </c>
      <c r="M16" s="18" t="n">
        <f aca="false">J16+K16+L16</f>
        <v>665057.837822878</v>
      </c>
      <c r="N16" s="18" t="n">
        <f aca="false">M16/(E16-D16+1)</f>
        <v>166264.45945572</v>
      </c>
      <c r="O16" s="19" t="n">
        <v>80</v>
      </c>
      <c r="P16" s="18" t="n">
        <f aca="false">C16*O16</f>
        <v>8979.6</v>
      </c>
      <c r="Q16" s="18" t="n">
        <f aca="false">P16*Assumptions!$C$21+P16*(1+Assumptions!$C$21)*Assumptions!$C$20</f>
        <v>12840.828</v>
      </c>
      <c r="R16" s="18" t="n">
        <f aca="false">P16+Q16</f>
        <v>21820.428</v>
      </c>
      <c r="S16" s="12" t="s">
        <v>101</v>
      </c>
    </row>
    <row r="17" customFormat="false" ht="15" hidden="false" customHeight="false" outlineLevel="0" collapsed="false">
      <c r="A17" s="12" t="s">
        <v>102</v>
      </c>
      <c r="B17" s="12" t="s">
        <v>98</v>
      </c>
      <c r="C17" s="13" t="n">
        <v>97</v>
      </c>
      <c r="D17" s="14" t="n">
        <v>2027</v>
      </c>
      <c r="E17" s="14" t="n">
        <v>2031</v>
      </c>
      <c r="F17" s="14" t="s">
        <v>12</v>
      </c>
      <c r="G17" s="15" t="n">
        <v>1</v>
      </c>
      <c r="H17" s="16" t="n">
        <f aca="false">INDEX(Assumptions!$F$6:$F$12,MATCH(F17,Assumptions!$B$6:$B$12,0))*G17</f>
        <v>4388.92988929889</v>
      </c>
      <c r="I17" s="17" t="n">
        <f aca="false">INDEX(Assumptions!$G$6:$G$12,MATCH(F17,Assumptions!$B$6:$B$12,0))</f>
        <v>0.55</v>
      </c>
      <c r="J17" s="18" t="n">
        <f aca="false">C17*H17*I17</f>
        <v>234149.409594096</v>
      </c>
      <c r="K17" s="18" t="n">
        <f aca="false">C17*H17*(1-I17)</f>
        <v>191576.789667897</v>
      </c>
      <c r="L17" s="18" t="n">
        <f aca="false">(J17+K17)*Assumptions!$C$20</f>
        <v>149004.169741697</v>
      </c>
      <c r="M17" s="18" t="n">
        <f aca="false">J17+K17+L17</f>
        <v>574730.36900369</v>
      </c>
      <c r="N17" s="18" t="n">
        <f aca="false">M17/(E17-D17+1)</f>
        <v>114946.073800738</v>
      </c>
      <c r="O17" s="19" t="n">
        <v>20</v>
      </c>
      <c r="P17" s="18" t="n">
        <f aca="false">C17*O17</f>
        <v>1940</v>
      </c>
      <c r="Q17" s="18" t="n">
        <f aca="false">P17*Assumptions!$C$21+P17*(1+Assumptions!$C$21)*Assumptions!$C$20</f>
        <v>2774.2</v>
      </c>
      <c r="R17" s="18" t="n">
        <f aca="false">P17+Q17</f>
        <v>4714.2</v>
      </c>
      <c r="S17" s="12" t="s">
        <v>103</v>
      </c>
    </row>
    <row r="18" customFormat="false" ht="15" hidden="false" customHeight="false" outlineLevel="0" collapsed="false">
      <c r="A18" s="12" t="s">
        <v>104</v>
      </c>
      <c r="B18" s="12" t="s">
        <v>98</v>
      </c>
      <c r="C18" s="13" t="n">
        <v>219.359</v>
      </c>
      <c r="D18" s="14" t="n">
        <v>2028</v>
      </c>
      <c r="E18" s="14" t="n">
        <v>2031</v>
      </c>
      <c r="F18" s="14" t="s">
        <v>15</v>
      </c>
      <c r="G18" s="15" t="n">
        <v>1</v>
      </c>
      <c r="H18" s="16" t="n">
        <f aca="false">INDEX(Assumptions!$F$6:$F$12,MATCH(F18,Assumptions!$B$6:$B$12,0))*G18</f>
        <v>5047.26937269373</v>
      </c>
      <c r="I18" s="17" t="n">
        <f aca="false">INDEX(Assumptions!$G$6:$G$12,MATCH(F18,Assumptions!$B$6:$B$12,0))</f>
        <v>0.58</v>
      </c>
      <c r="J18" s="18" t="n">
        <f aca="false">C18*H18*I18</f>
        <v>642155.09814834</v>
      </c>
      <c r="K18" s="18" t="n">
        <f aca="false">C18*H18*(1-I18)</f>
        <v>465008.864176384</v>
      </c>
      <c r="L18" s="18" t="n">
        <f aca="false">(J18+K18)*Assumptions!$C$20</f>
        <v>387507.386813653</v>
      </c>
      <c r="M18" s="18" t="n">
        <f aca="false">J18+K18+L18</f>
        <v>1494671.34913838</v>
      </c>
      <c r="N18" s="18" t="n">
        <f aca="false">M18/(E18-D18+1)</f>
        <v>373667.837284594</v>
      </c>
      <c r="O18" s="19" t="n">
        <v>30</v>
      </c>
      <c r="P18" s="18" t="n">
        <f aca="false">C18*O18</f>
        <v>6580.77</v>
      </c>
      <c r="Q18" s="18" t="n">
        <f aca="false">P18*Assumptions!$C$21+P18*(1+Assumptions!$C$21)*Assumptions!$C$20</f>
        <v>9410.5011</v>
      </c>
      <c r="R18" s="18" t="n">
        <f aca="false">P18+Q18</f>
        <v>15991.2711</v>
      </c>
      <c r="S18" s="12" t="s">
        <v>105</v>
      </c>
    </row>
    <row r="19" customFormat="false" ht="15" hidden="false" customHeight="false" outlineLevel="0" collapsed="false">
      <c r="A19" s="12" t="s">
        <v>106</v>
      </c>
      <c r="B19" s="12" t="s">
        <v>98</v>
      </c>
      <c r="C19" s="13" t="n">
        <v>4.094</v>
      </c>
      <c r="D19" s="14" t="n">
        <v>2027</v>
      </c>
      <c r="E19" s="14" t="n">
        <v>2031</v>
      </c>
      <c r="F19" s="14" t="s">
        <v>30</v>
      </c>
      <c r="G19" s="15" t="n">
        <v>1</v>
      </c>
      <c r="H19" s="16" t="n">
        <f aca="false">INDEX(Assumptions!$F$6:$F$12,MATCH(F19,Assumptions!$B$6:$B$12,0))*G19</f>
        <v>3310.9471094711</v>
      </c>
      <c r="I19" s="17" t="n">
        <f aca="false">INDEX(Assumptions!$G$6:$G$12,MATCH(F19,Assumptions!$B$6:$B$12,0))</f>
        <v>0.4</v>
      </c>
      <c r="J19" s="18" t="n">
        <f aca="false">C19*H19*I19</f>
        <v>5422.00698646987</v>
      </c>
      <c r="K19" s="18" t="n">
        <f aca="false">C19*H19*(1-I19)</f>
        <v>8133.0104797048</v>
      </c>
      <c r="L19" s="18" t="n">
        <f aca="false">(J19+K19)*Assumptions!$C$20</f>
        <v>4744.25611316113</v>
      </c>
      <c r="M19" s="18" t="n">
        <f aca="false">J19+K19+L19</f>
        <v>18299.2735793358</v>
      </c>
      <c r="N19" s="18" t="n">
        <f aca="false">M19/(E19-D19+1)</f>
        <v>3659.85471586716</v>
      </c>
      <c r="O19" s="19" t="n">
        <v>50</v>
      </c>
      <c r="P19" s="18" t="n">
        <f aca="false">C19*O19</f>
        <v>204.7</v>
      </c>
      <c r="Q19" s="18" t="n">
        <f aca="false">P19*Assumptions!$C$21+P19*(1+Assumptions!$C$21)*Assumptions!$C$20</f>
        <v>292.721</v>
      </c>
      <c r="R19" s="18" t="n">
        <f aca="false">P19+Q19</f>
        <v>497.421</v>
      </c>
      <c r="S19" s="12" t="s">
        <v>107</v>
      </c>
    </row>
    <row r="20" customFormat="false" ht="15" hidden="false" customHeight="false" outlineLevel="0" collapsed="false">
      <c r="A20" s="12" t="s">
        <v>108</v>
      </c>
      <c r="B20" s="12" t="s">
        <v>98</v>
      </c>
      <c r="C20" s="13" t="n">
        <v>13.831</v>
      </c>
      <c r="D20" s="14" t="n">
        <v>2027</v>
      </c>
      <c r="E20" s="14" t="n">
        <v>2031</v>
      </c>
      <c r="F20" s="14" t="s">
        <v>30</v>
      </c>
      <c r="G20" s="15" t="n">
        <v>1</v>
      </c>
      <c r="H20" s="16" t="n">
        <f aca="false">INDEX(Assumptions!$F$6:$F$12,MATCH(F20,Assumptions!$B$6:$B$12,0))*G20</f>
        <v>3310.9471094711</v>
      </c>
      <c r="I20" s="17" t="n">
        <f aca="false">INDEX(Assumptions!$G$6:$G$12,MATCH(F20,Assumptions!$B$6:$B$12,0))</f>
        <v>0.4</v>
      </c>
      <c r="J20" s="18" t="n">
        <f aca="false">C20*H20*I20</f>
        <v>18317.4837884379</v>
      </c>
      <c r="K20" s="18" t="n">
        <f aca="false">C20*H20*(1-I20)</f>
        <v>27476.2256826568</v>
      </c>
      <c r="L20" s="18" t="n">
        <f aca="false">(J20+K20)*Assumptions!$C$20</f>
        <v>16027.7983148831</v>
      </c>
      <c r="M20" s="18" t="n">
        <f aca="false">J20+K20+L20</f>
        <v>61821.5077859779</v>
      </c>
      <c r="N20" s="18" t="n">
        <f aca="false">M20/(E20-D20+1)</f>
        <v>12364.3015571956</v>
      </c>
      <c r="O20" s="19" t="n">
        <v>50</v>
      </c>
      <c r="P20" s="18" t="n">
        <f aca="false">C20*O20</f>
        <v>691.55</v>
      </c>
      <c r="Q20" s="18" t="n">
        <f aca="false">P20*Assumptions!$C$21+P20*(1+Assumptions!$C$21)*Assumptions!$C$20</f>
        <v>988.9165</v>
      </c>
      <c r="R20" s="18" t="n">
        <f aca="false">P20+Q20</f>
        <v>1680.4665</v>
      </c>
      <c r="S20" s="12" t="s">
        <v>109</v>
      </c>
    </row>
    <row r="21" customFormat="false" ht="15" hidden="false" customHeight="false" outlineLevel="0" collapsed="false">
      <c r="A21" s="12" t="s">
        <v>110</v>
      </c>
      <c r="B21" s="12" t="s">
        <v>98</v>
      </c>
      <c r="C21" s="13" t="n">
        <v>0.516</v>
      </c>
      <c r="D21" s="14" t="n">
        <v>2027</v>
      </c>
      <c r="E21" s="14" t="n">
        <v>2031</v>
      </c>
      <c r="F21" s="14" t="s">
        <v>30</v>
      </c>
      <c r="G21" s="15" t="n">
        <v>1</v>
      </c>
      <c r="H21" s="16" t="n">
        <f aca="false">INDEX(Assumptions!$F$6:$F$12,MATCH(F21,Assumptions!$B$6:$B$12,0))*G21</f>
        <v>3310.9471094711</v>
      </c>
      <c r="I21" s="17" t="n">
        <f aca="false">INDEX(Assumptions!$G$6:$G$12,MATCH(F21,Assumptions!$B$6:$B$12,0))</f>
        <v>0.4</v>
      </c>
      <c r="J21" s="18" t="n">
        <f aca="false">C21*H21*I21</f>
        <v>683.379483394834</v>
      </c>
      <c r="K21" s="18" t="n">
        <f aca="false">C21*H21*(1-I21)</f>
        <v>1025.06922509225</v>
      </c>
      <c r="L21" s="18" t="n">
        <f aca="false">(J21+K21)*Assumptions!$C$20</f>
        <v>597.95704797048</v>
      </c>
      <c r="M21" s="18" t="n">
        <f aca="false">J21+K21+L21</f>
        <v>2306.40575645756</v>
      </c>
      <c r="N21" s="18" t="n">
        <f aca="false">M21/(E21-D21+1)</f>
        <v>461.281151291513</v>
      </c>
      <c r="O21" s="19" t="n">
        <v>100</v>
      </c>
      <c r="P21" s="18" t="n">
        <f aca="false">C21*O21</f>
        <v>51.6</v>
      </c>
      <c r="Q21" s="18" t="n">
        <f aca="false">P21*Assumptions!$C$21+P21*(1+Assumptions!$C$21)*Assumptions!$C$20</f>
        <v>73.788</v>
      </c>
      <c r="R21" s="18" t="n">
        <f aca="false">P21+Q21</f>
        <v>125.388</v>
      </c>
      <c r="S21" s="12" t="s">
        <v>111</v>
      </c>
    </row>
    <row r="22" customFormat="false" ht="15" hidden="false" customHeight="false" outlineLevel="0" collapsed="false">
      <c r="A22" s="12" t="s">
        <v>112</v>
      </c>
      <c r="B22" s="12" t="s">
        <v>98</v>
      </c>
      <c r="C22" s="13" t="n">
        <v>225.028</v>
      </c>
      <c r="D22" s="14" t="n">
        <v>2028</v>
      </c>
      <c r="E22" s="14" t="n">
        <v>2032</v>
      </c>
      <c r="F22" s="14" t="s">
        <v>12</v>
      </c>
      <c r="G22" s="15" t="n">
        <v>1</v>
      </c>
      <c r="H22" s="16" t="n">
        <f aca="false">INDEX(Assumptions!$F$6:$F$12,MATCH(F22,Assumptions!$B$6:$B$12,0))*G22</f>
        <v>4388.92988929889</v>
      </c>
      <c r="I22" s="17" t="n">
        <f aca="false">INDEX(Assumptions!$G$6:$G$12,MATCH(F22,Assumptions!$B$6:$B$12,0))</f>
        <v>0.55</v>
      </c>
      <c r="J22" s="18" t="n">
        <f aca="false">C22*H22*I22</f>
        <v>543197.663321033</v>
      </c>
      <c r="K22" s="18" t="n">
        <f aca="false">C22*H22*(1-I22)</f>
        <v>444434.451808118</v>
      </c>
      <c r="L22" s="18" t="n">
        <f aca="false">(J22+K22)*Assumptions!$C$20</f>
        <v>345671.240295203</v>
      </c>
      <c r="M22" s="18" t="n">
        <f aca="false">J22+K22+L22</f>
        <v>1333303.35542435</v>
      </c>
      <c r="N22" s="18" t="n">
        <f aca="false">M22/(E22-D22+1)</f>
        <v>266660.671084871</v>
      </c>
      <c r="O22" s="19" t="n">
        <v>100</v>
      </c>
      <c r="P22" s="18" t="n">
        <f aca="false">C22*O22</f>
        <v>22502.8</v>
      </c>
      <c r="Q22" s="18" t="n">
        <f aca="false">P22*Assumptions!$C$21+P22*(1+Assumptions!$C$21)*Assumptions!$C$20</f>
        <v>32179.004</v>
      </c>
      <c r="R22" s="18" t="n">
        <f aca="false">P22+Q22</f>
        <v>54681.804</v>
      </c>
      <c r="S22" s="12" t="s">
        <v>113</v>
      </c>
    </row>
    <row r="23" customFormat="false" ht="15" hidden="false" customHeight="false" outlineLevel="0" collapsed="false">
      <c r="A23" s="12" t="s">
        <v>114</v>
      </c>
      <c r="B23" s="12" t="s">
        <v>98</v>
      </c>
      <c r="C23" s="13" t="n">
        <v>186.9</v>
      </c>
      <c r="D23" s="14" t="n">
        <v>2028</v>
      </c>
      <c r="E23" s="14" t="n">
        <v>2031</v>
      </c>
      <c r="F23" s="14" t="s">
        <v>12</v>
      </c>
      <c r="G23" s="15" t="n">
        <v>1</v>
      </c>
      <c r="H23" s="16" t="n">
        <f aca="false">INDEX(Assumptions!$F$6:$F$12,MATCH(F23,Assumptions!$B$6:$B$12,0))*G23</f>
        <v>4388.92988929889</v>
      </c>
      <c r="I23" s="17" t="n">
        <f aca="false">INDEX(Assumptions!$G$6:$G$12,MATCH(F23,Assumptions!$B$6:$B$12,0))</f>
        <v>0.55</v>
      </c>
      <c r="J23" s="18" t="n">
        <f aca="false">C23*H23*I23</f>
        <v>451160.04797048</v>
      </c>
      <c r="K23" s="18" t="n">
        <f aca="false">C23*H23*(1-I23)</f>
        <v>369130.948339483</v>
      </c>
      <c r="L23" s="18" t="n">
        <f aca="false">(J23+K23)*Assumptions!$C$20</f>
        <v>287101.848708487</v>
      </c>
      <c r="M23" s="18" t="n">
        <f aca="false">J23+K23+L23</f>
        <v>1107392.84501845</v>
      </c>
      <c r="N23" s="18" t="n">
        <f aca="false">M23/(E23-D23+1)</f>
        <v>276848.211254613</v>
      </c>
      <c r="O23" s="19" t="n">
        <v>250</v>
      </c>
      <c r="P23" s="18" t="n">
        <f aca="false">C23*O23</f>
        <v>46725</v>
      </c>
      <c r="Q23" s="18" t="n">
        <f aca="false">P23*Assumptions!$C$21+P23*(1+Assumptions!$C$21)*Assumptions!$C$20</f>
        <v>66816.75</v>
      </c>
      <c r="R23" s="18" t="n">
        <f aca="false">P23+Q23</f>
        <v>113541.75</v>
      </c>
      <c r="S23" s="12" t="s">
        <v>115</v>
      </c>
    </row>
    <row r="24" customFormat="false" ht="15" hidden="false" customHeight="false" outlineLevel="0" collapsed="false">
      <c r="A24" s="12" t="s">
        <v>116</v>
      </c>
      <c r="B24" s="12" t="s">
        <v>98</v>
      </c>
      <c r="C24" s="13" t="n">
        <v>71.022</v>
      </c>
      <c r="D24" s="14" t="n">
        <v>2027</v>
      </c>
      <c r="E24" s="14" t="n">
        <v>2031</v>
      </c>
      <c r="F24" s="14" t="s">
        <v>15</v>
      </c>
      <c r="G24" s="15" t="n">
        <v>1</v>
      </c>
      <c r="H24" s="16" t="n">
        <f aca="false">INDEX(Assumptions!$F$6:$F$12,MATCH(F24,Assumptions!$B$6:$B$12,0))*G24</f>
        <v>5047.26937269373</v>
      </c>
      <c r="I24" s="17" t="n">
        <f aca="false">INDEX(Assumptions!$G$6:$G$12,MATCH(F24,Assumptions!$B$6:$B$12,0))</f>
        <v>0.58</v>
      </c>
      <c r="J24" s="18" t="n">
        <f aca="false">C24*H24*I24</f>
        <v>207910.955924723</v>
      </c>
      <c r="K24" s="18" t="n">
        <f aca="false">C24*H24*(1-I24)</f>
        <v>150556.209462731</v>
      </c>
      <c r="L24" s="18" t="n">
        <f aca="false">(J24+K24)*Assumptions!$C$20</f>
        <v>125463.507885609</v>
      </c>
      <c r="M24" s="18" t="n">
        <f aca="false">J24+K24+L24</f>
        <v>483930.673273063</v>
      </c>
      <c r="N24" s="18" t="n">
        <f aca="false">M24/(E24-D24+1)</f>
        <v>96786.1346546126</v>
      </c>
      <c r="O24" s="19" t="n">
        <v>70</v>
      </c>
      <c r="P24" s="18" t="n">
        <f aca="false">C24*O24</f>
        <v>4971.54</v>
      </c>
      <c r="Q24" s="18" t="n">
        <f aca="false">P24*Assumptions!$C$21+P24*(1+Assumptions!$C$21)*Assumptions!$C$20</f>
        <v>7109.3022</v>
      </c>
      <c r="R24" s="18" t="n">
        <f aca="false">P24+Q24</f>
        <v>12080.8422</v>
      </c>
      <c r="S24" s="12" t="s">
        <v>117</v>
      </c>
    </row>
    <row r="25" customFormat="false" ht="15" hidden="false" customHeight="false" outlineLevel="0" collapsed="false">
      <c r="A25" s="12" t="s">
        <v>118</v>
      </c>
      <c r="B25" s="12" t="s">
        <v>98</v>
      </c>
      <c r="C25" s="13" t="n">
        <v>178</v>
      </c>
      <c r="D25" s="14" t="n">
        <v>2027</v>
      </c>
      <c r="E25" s="14" t="n">
        <v>2031</v>
      </c>
      <c r="F25" s="14" t="s">
        <v>15</v>
      </c>
      <c r="G25" s="15" t="n">
        <v>1</v>
      </c>
      <c r="H25" s="16" t="n">
        <f aca="false">INDEX(Assumptions!$F$6:$F$12,MATCH(F25,Assumptions!$B$6:$B$12,0))*G25</f>
        <v>5047.26937269373</v>
      </c>
      <c r="I25" s="17" t="n">
        <f aca="false">INDEX(Assumptions!$G$6:$G$12,MATCH(F25,Assumptions!$B$6:$B$12,0))</f>
        <v>0.58</v>
      </c>
      <c r="J25" s="18" t="n">
        <f aca="false">C25*H25*I25</f>
        <v>521080.0900369</v>
      </c>
      <c r="K25" s="18" t="n">
        <f aca="false">C25*H25*(1-I25)</f>
        <v>377333.858302583</v>
      </c>
      <c r="L25" s="18" t="n">
        <f aca="false">(J25+K25)*Assumptions!$C$20</f>
        <v>314444.881918819</v>
      </c>
      <c r="M25" s="18" t="n">
        <f aca="false">J25+K25+L25</f>
        <v>1212858.8302583</v>
      </c>
      <c r="N25" s="18" t="n">
        <f aca="false">M25/(E25-D25+1)</f>
        <v>242571.76605166</v>
      </c>
      <c r="O25" s="19" t="n">
        <v>150</v>
      </c>
      <c r="P25" s="18" t="n">
        <f aca="false">C25*O25</f>
        <v>26700</v>
      </c>
      <c r="Q25" s="18" t="n">
        <f aca="false">P25*Assumptions!$C$21+P25*(1+Assumptions!$C$21)*Assumptions!$C$20</f>
        <v>38181</v>
      </c>
      <c r="R25" s="18" t="n">
        <f aca="false">P25+Q25</f>
        <v>64881</v>
      </c>
      <c r="S25" s="12" t="s">
        <v>119</v>
      </c>
    </row>
    <row r="26" customFormat="false" ht="15" hidden="false" customHeight="false" outlineLevel="0" collapsed="false">
      <c r="A26" s="12" t="s">
        <v>120</v>
      </c>
      <c r="B26" s="12" t="s">
        <v>121</v>
      </c>
      <c r="C26" s="13" t="n">
        <v>167.249</v>
      </c>
      <c r="D26" s="14" t="n">
        <v>2028</v>
      </c>
      <c r="E26" s="14" t="n">
        <v>2032</v>
      </c>
      <c r="F26" s="14" t="s">
        <v>18</v>
      </c>
      <c r="G26" s="15" t="n">
        <v>0.5714</v>
      </c>
      <c r="H26" s="16" t="n">
        <f aca="false">INDEX(Assumptions!$F$6:$F$12,MATCH(F26,Assumptions!$B$6:$B$12,0))*G26</f>
        <v>2437.43918327183</v>
      </c>
      <c r="I26" s="17" t="n">
        <f aca="false">INDEX(Assumptions!$G$6:$G$12,MATCH(F26,Assumptions!$B$6:$B$12,0))</f>
        <v>0.45</v>
      </c>
      <c r="J26" s="18" t="n">
        <f aca="false">C26*H26*I26</f>
        <v>183446.669683364</v>
      </c>
      <c r="K26" s="18" t="n">
        <f aca="false">C26*H26*(1-I26)</f>
        <v>224212.596279667</v>
      </c>
      <c r="L26" s="18" t="n">
        <f aca="false">(J26+K26)*Assumptions!$C$20</f>
        <v>142680.743087061</v>
      </c>
      <c r="M26" s="18" t="n">
        <f aca="false">J26+K26+L26</f>
        <v>550340.009050092</v>
      </c>
      <c r="N26" s="18" t="n">
        <f aca="false">M26/(E26-D26+1)</f>
        <v>110068.001810018</v>
      </c>
      <c r="O26" s="19" t="n">
        <v>50</v>
      </c>
      <c r="P26" s="18" t="n">
        <f aca="false">C26*O26</f>
        <v>8362.45</v>
      </c>
      <c r="Q26" s="18" t="n">
        <f aca="false">P26*Assumptions!$C$21+P26*(1+Assumptions!$C$21)*Assumptions!$C$20</f>
        <v>11958.3035</v>
      </c>
      <c r="R26" s="18" t="n">
        <f aca="false">P26+Q26</f>
        <v>20320.7535</v>
      </c>
      <c r="S26" s="12" t="s">
        <v>122</v>
      </c>
    </row>
    <row r="27" customFormat="false" ht="15" hidden="false" customHeight="false" outlineLevel="0" collapsed="false">
      <c r="A27" s="12" t="s">
        <v>123</v>
      </c>
      <c r="B27" s="12" t="s">
        <v>121</v>
      </c>
      <c r="C27" s="13" t="n">
        <v>16.125</v>
      </c>
      <c r="D27" s="14" t="n">
        <v>2028</v>
      </c>
      <c r="E27" s="14" t="n">
        <v>2031</v>
      </c>
      <c r="F27" s="14" t="s">
        <v>18</v>
      </c>
      <c r="G27" s="15" t="n">
        <v>0.4286</v>
      </c>
      <c r="H27" s="16" t="n">
        <f aca="false">INDEX(Assumptions!$F$6:$F$12,MATCH(F27,Assumptions!$B$6:$B$12,0))*G27</f>
        <v>1828.29267404674</v>
      </c>
      <c r="I27" s="17" t="n">
        <f aca="false">INDEX(Assumptions!$G$6:$G$12,MATCH(F27,Assumptions!$B$6:$B$12,0))</f>
        <v>0.45</v>
      </c>
      <c r="J27" s="18" t="n">
        <f aca="false">C27*H27*I27</f>
        <v>13266.5487160517</v>
      </c>
      <c r="K27" s="18" t="n">
        <f aca="false">C27*H27*(1-I27)</f>
        <v>16214.670652952</v>
      </c>
      <c r="L27" s="18" t="n">
        <f aca="false">(J27+K27)*Assumptions!$C$20</f>
        <v>10318.4267791513</v>
      </c>
      <c r="M27" s="18" t="n">
        <f aca="false">J27+K27+L27</f>
        <v>39799.646148155</v>
      </c>
      <c r="N27" s="18" t="n">
        <f aca="false">M27/(E27-D27+1)</f>
        <v>9949.91153703874</v>
      </c>
      <c r="O27" s="19" t="n">
        <v>100</v>
      </c>
      <c r="P27" s="18" t="n">
        <f aca="false">C27*O27</f>
        <v>1612.5</v>
      </c>
      <c r="Q27" s="18" t="n">
        <f aca="false">P27*Assumptions!$C$21+P27*(1+Assumptions!$C$21)*Assumptions!$C$20</f>
        <v>2305.875</v>
      </c>
      <c r="R27" s="18" t="n">
        <f aca="false">P27+Q27</f>
        <v>3918.375</v>
      </c>
      <c r="S27" s="12" t="s">
        <v>124</v>
      </c>
    </row>
    <row r="28" customFormat="false" ht="15" hidden="false" customHeight="false" outlineLevel="0" collapsed="false">
      <c r="A28" s="12" t="s">
        <v>125</v>
      </c>
      <c r="B28" s="12" t="s">
        <v>121</v>
      </c>
      <c r="C28" s="13" t="n">
        <v>5.235</v>
      </c>
      <c r="D28" s="14" t="n">
        <v>2028</v>
      </c>
      <c r="E28" s="14" t="n">
        <v>2032</v>
      </c>
      <c r="F28" s="14" t="s">
        <v>18</v>
      </c>
      <c r="G28" s="15" t="n">
        <v>0.8571</v>
      </c>
      <c r="H28" s="16" t="n">
        <f aca="false">INDEX(Assumptions!$F$6:$F$12,MATCH(F28,Assumptions!$B$6:$B$12,0))*G28</f>
        <v>3656.15877490775</v>
      </c>
      <c r="I28" s="17" t="n">
        <f aca="false">INDEX(Assumptions!$G$6:$G$12,MATCH(F28,Assumptions!$B$6:$B$12,0))</f>
        <v>0.45</v>
      </c>
      <c r="J28" s="18" t="n">
        <f aca="false">C28*H28*I28</f>
        <v>8612.99603398893</v>
      </c>
      <c r="K28" s="18" t="n">
        <f aca="false">C28*H28*(1-I28)</f>
        <v>10526.9951526531</v>
      </c>
      <c r="L28" s="18" t="n">
        <f aca="false">(J28+K28)*Assumptions!$C$20</f>
        <v>6698.99691532472</v>
      </c>
      <c r="M28" s="18" t="n">
        <f aca="false">J28+K28+L28</f>
        <v>25838.9881019668</v>
      </c>
      <c r="N28" s="18" t="n">
        <f aca="false">M28/(E28-D28+1)</f>
        <v>5167.79762039336</v>
      </c>
      <c r="O28" s="19" t="n">
        <v>1000</v>
      </c>
      <c r="P28" s="18" t="n">
        <f aca="false">C28*O28</f>
        <v>5235</v>
      </c>
      <c r="Q28" s="18" t="n">
        <f aca="false">P28*Assumptions!$C$21+P28*(1+Assumptions!$C$21)*Assumptions!$C$20</f>
        <v>7486.05</v>
      </c>
      <c r="R28" s="18" t="n">
        <f aca="false">P28+Q28</f>
        <v>12721.05</v>
      </c>
      <c r="S28" s="12" t="s">
        <v>126</v>
      </c>
    </row>
    <row r="29" customFormat="false" ht="15" hidden="false" customHeight="false" outlineLevel="0" collapsed="false">
      <c r="A29" s="12" t="s">
        <v>127</v>
      </c>
      <c r="B29" s="12" t="s">
        <v>121</v>
      </c>
      <c r="C29" s="13" t="n">
        <v>3</v>
      </c>
      <c r="D29" s="14" t="n">
        <v>2028</v>
      </c>
      <c r="E29" s="14" t="n">
        <v>2031</v>
      </c>
      <c r="F29" s="14" t="s">
        <v>18</v>
      </c>
      <c r="G29" s="15" t="n">
        <v>1</v>
      </c>
      <c r="H29" s="16" t="n">
        <f aca="false">INDEX(Assumptions!$F$6:$F$12,MATCH(F29,Assumptions!$B$6:$B$12,0))*G29</f>
        <v>4265.73185731857</v>
      </c>
      <c r="I29" s="17" t="n">
        <f aca="false">INDEX(Assumptions!$G$6:$G$12,MATCH(F29,Assumptions!$B$6:$B$12,0))</f>
        <v>0.45</v>
      </c>
      <c r="J29" s="18" t="n">
        <f aca="false">C29*H29*I29</f>
        <v>5758.73800738007</v>
      </c>
      <c r="K29" s="18" t="n">
        <f aca="false">C29*H29*(1-I29)</f>
        <v>7038.45756457565</v>
      </c>
      <c r="L29" s="18" t="n">
        <f aca="false">(J29+K29)*Assumptions!$C$20</f>
        <v>4479.0184501845</v>
      </c>
      <c r="M29" s="18" t="n">
        <f aca="false">J29+K29+L29</f>
        <v>17276.2140221402</v>
      </c>
      <c r="N29" s="18" t="n">
        <f aca="false">M29/(E29-D29+1)</f>
        <v>4319.05350553506</v>
      </c>
      <c r="O29" s="19" t="n">
        <v>300</v>
      </c>
      <c r="P29" s="18" t="n">
        <f aca="false">C29*O29</f>
        <v>900</v>
      </c>
      <c r="Q29" s="18" t="n">
        <f aca="false">P29*Assumptions!$C$21+P29*(1+Assumptions!$C$21)*Assumptions!$C$20</f>
        <v>1287</v>
      </c>
      <c r="R29" s="18" t="n">
        <f aca="false">P29+Q29</f>
        <v>2187</v>
      </c>
      <c r="S29" s="12" t="s">
        <v>128</v>
      </c>
    </row>
    <row r="30" customFormat="false" ht="15" hidden="false" customHeight="false" outlineLevel="0" collapsed="false">
      <c r="A30" s="12" t="s">
        <v>129</v>
      </c>
      <c r="B30" s="12" t="s">
        <v>121</v>
      </c>
      <c r="C30" s="13" t="n">
        <v>3</v>
      </c>
      <c r="D30" s="14" t="n">
        <v>2028</v>
      </c>
      <c r="E30" s="14" t="n">
        <v>2031</v>
      </c>
      <c r="F30" s="14" t="s">
        <v>18</v>
      </c>
      <c r="G30" s="15" t="n">
        <v>1</v>
      </c>
      <c r="H30" s="16" t="n">
        <f aca="false">INDEX(Assumptions!$F$6:$F$12,MATCH(F30,Assumptions!$B$6:$B$12,0))*G30</f>
        <v>4265.73185731857</v>
      </c>
      <c r="I30" s="17" t="n">
        <f aca="false">INDEX(Assumptions!$G$6:$G$12,MATCH(F30,Assumptions!$B$6:$B$12,0))</f>
        <v>0.45</v>
      </c>
      <c r="J30" s="18" t="n">
        <f aca="false">C30*H30*I30</f>
        <v>5758.73800738007</v>
      </c>
      <c r="K30" s="18" t="n">
        <f aca="false">C30*H30*(1-I30)</f>
        <v>7038.45756457565</v>
      </c>
      <c r="L30" s="18" t="n">
        <f aca="false">(J30+K30)*Assumptions!$C$20</f>
        <v>4479.0184501845</v>
      </c>
      <c r="M30" s="18" t="n">
        <f aca="false">J30+K30+L30</f>
        <v>17276.2140221402</v>
      </c>
      <c r="N30" s="18" t="n">
        <f aca="false">M30/(E30-D30+1)</f>
        <v>4319.05350553506</v>
      </c>
      <c r="O30" s="19" t="n">
        <v>300</v>
      </c>
      <c r="P30" s="18" t="n">
        <f aca="false">C30*O30</f>
        <v>900</v>
      </c>
      <c r="Q30" s="18" t="n">
        <f aca="false">P30*Assumptions!$C$21+P30*(1+Assumptions!$C$21)*Assumptions!$C$20</f>
        <v>1287</v>
      </c>
      <c r="R30" s="18" t="n">
        <f aca="false">P30+Q30</f>
        <v>2187</v>
      </c>
      <c r="S30" s="12" t="s">
        <v>128</v>
      </c>
    </row>
    <row r="31" customFormat="false" ht="15" hidden="false" customHeight="false" outlineLevel="0" collapsed="false">
      <c r="A31" s="12" t="s">
        <v>130</v>
      </c>
      <c r="B31" s="12" t="s">
        <v>121</v>
      </c>
      <c r="C31" s="13" t="n">
        <v>5.376</v>
      </c>
      <c r="D31" s="14" t="n">
        <v>2027</v>
      </c>
      <c r="E31" s="14" t="n">
        <v>2031</v>
      </c>
      <c r="F31" s="14" t="s">
        <v>30</v>
      </c>
      <c r="G31" s="15" t="n">
        <v>1</v>
      </c>
      <c r="H31" s="16" t="n">
        <f aca="false">INDEX(Assumptions!$F$6:$F$12,MATCH(F31,Assumptions!$B$6:$B$12,0))*G31</f>
        <v>3310.9471094711</v>
      </c>
      <c r="I31" s="17" t="n">
        <f aca="false">INDEX(Assumptions!$G$6:$G$12,MATCH(F31,Assumptions!$B$6:$B$12,0))</f>
        <v>0.4</v>
      </c>
      <c r="J31" s="18" t="n">
        <f aca="false">C31*H31*I31</f>
        <v>7119.86066420664</v>
      </c>
      <c r="K31" s="18" t="n">
        <f aca="false">C31*H31*(1-I31)</f>
        <v>10679.79099631</v>
      </c>
      <c r="L31" s="18" t="n">
        <f aca="false">(J31+K31)*Assumptions!$C$20</f>
        <v>6229.87808118081</v>
      </c>
      <c r="M31" s="18" t="n">
        <f aca="false">J31+K31+L31</f>
        <v>24029.5297416974</v>
      </c>
      <c r="N31" s="18" t="n">
        <f aca="false">M31/(E31-D31+1)</f>
        <v>4805.90594833948</v>
      </c>
      <c r="O31" s="19" t="n">
        <v>100</v>
      </c>
      <c r="P31" s="18" t="n">
        <f aca="false">C31*O31</f>
        <v>537.6</v>
      </c>
      <c r="Q31" s="18" t="n">
        <f aca="false">P31*Assumptions!$C$21+P31*(1+Assumptions!$C$21)*Assumptions!$C$20</f>
        <v>768.768</v>
      </c>
      <c r="R31" s="18" t="n">
        <f aca="false">P31+Q31</f>
        <v>1306.368</v>
      </c>
      <c r="S31" s="12" t="s">
        <v>131</v>
      </c>
    </row>
    <row r="32" customFormat="false" ht="15" hidden="false" customHeight="false" outlineLevel="0" collapsed="false">
      <c r="A32" s="12" t="s">
        <v>132</v>
      </c>
      <c r="B32" s="12" t="s">
        <v>121</v>
      </c>
      <c r="C32" s="13" t="n">
        <v>25</v>
      </c>
      <c r="D32" s="14" t="n">
        <v>2027</v>
      </c>
      <c r="E32" s="14" t="n">
        <v>2029</v>
      </c>
      <c r="F32" s="14" t="s">
        <v>18</v>
      </c>
      <c r="G32" s="15" t="n">
        <v>1</v>
      </c>
      <c r="H32" s="16" t="n">
        <f aca="false">INDEX(Assumptions!$F$6:$F$12,MATCH(F32,Assumptions!$B$6:$B$12,0))*G32</f>
        <v>4265.73185731857</v>
      </c>
      <c r="I32" s="17" t="n">
        <f aca="false">INDEX(Assumptions!$G$6:$G$12,MATCH(F32,Assumptions!$B$6:$B$12,0))</f>
        <v>0.45</v>
      </c>
      <c r="J32" s="18" t="n">
        <f aca="false">C32*H32*I32</f>
        <v>47989.483394834</v>
      </c>
      <c r="K32" s="18" t="n">
        <f aca="false">C32*H32*(1-I32)</f>
        <v>58653.8130381304</v>
      </c>
      <c r="L32" s="18" t="n">
        <f aca="false">(J32+K32)*Assumptions!$C$20</f>
        <v>37325.1537515375</v>
      </c>
      <c r="M32" s="18" t="n">
        <f aca="false">J32+K32+L32</f>
        <v>143968.450184502</v>
      </c>
      <c r="N32" s="18" t="n">
        <f aca="false">M32/(E32-D32+1)</f>
        <v>47989.4833948339</v>
      </c>
      <c r="O32" s="19" t="n">
        <v>400</v>
      </c>
      <c r="P32" s="18" t="n">
        <f aca="false">C32*O32</f>
        <v>10000</v>
      </c>
      <c r="Q32" s="18" t="n">
        <f aca="false">P32*Assumptions!$C$21+P32*(1+Assumptions!$C$21)*Assumptions!$C$20</f>
        <v>14300</v>
      </c>
      <c r="R32" s="18" t="n">
        <f aca="false">P32+Q32</f>
        <v>24300</v>
      </c>
      <c r="S32" s="12" t="s">
        <v>133</v>
      </c>
    </row>
    <row r="33" customFormat="false" ht="15" hidden="false" customHeight="false" outlineLevel="0" collapsed="false">
      <c r="A33" s="12" t="s">
        <v>134</v>
      </c>
      <c r="B33" s="12" t="s">
        <v>135</v>
      </c>
      <c r="C33" s="13" t="n">
        <v>89</v>
      </c>
      <c r="D33" s="14" t="n">
        <v>2028</v>
      </c>
      <c r="E33" s="14" t="n">
        <v>2031</v>
      </c>
      <c r="F33" s="14" t="s">
        <v>18</v>
      </c>
      <c r="G33" s="15" t="n">
        <v>1</v>
      </c>
      <c r="H33" s="16" t="n">
        <f aca="false">INDEX(Assumptions!$F$6:$F$12,MATCH(F33,Assumptions!$B$6:$B$12,0))*G33</f>
        <v>4265.73185731857</v>
      </c>
      <c r="I33" s="17" t="n">
        <f aca="false">INDEX(Assumptions!$G$6:$G$12,MATCH(F33,Assumptions!$B$6:$B$12,0))</f>
        <v>0.45</v>
      </c>
      <c r="J33" s="18" t="n">
        <f aca="false">C33*H33*I33</f>
        <v>170842.560885609</v>
      </c>
      <c r="K33" s="18" t="n">
        <f aca="false">C33*H33*(1-I33)</f>
        <v>208807.574415744</v>
      </c>
      <c r="L33" s="18" t="n">
        <f aca="false">(J33+K33)*Assumptions!$C$20</f>
        <v>132877.547355474</v>
      </c>
      <c r="M33" s="18" t="n">
        <f aca="false">J33+K33+L33</f>
        <v>512527.682656827</v>
      </c>
      <c r="N33" s="18" t="n">
        <f aca="false">M33/(E33-D33+1)</f>
        <v>128131.920664207</v>
      </c>
      <c r="O33" s="19" t="n">
        <v>1200</v>
      </c>
      <c r="P33" s="18" t="n">
        <f aca="false">C33*O33</f>
        <v>106800</v>
      </c>
      <c r="Q33" s="18" t="n">
        <f aca="false">P33*Assumptions!$C$21+P33*(1+Assumptions!$C$21)*Assumptions!$C$20</f>
        <v>152724</v>
      </c>
      <c r="R33" s="18" t="n">
        <f aca="false">P33+Q33</f>
        <v>259524</v>
      </c>
      <c r="S33" s="12" t="s">
        <v>136</v>
      </c>
    </row>
    <row r="34" customFormat="false" ht="15" hidden="false" customHeight="false" outlineLevel="0" collapsed="false">
      <c r="A34" s="12" t="s">
        <v>137</v>
      </c>
      <c r="B34" s="12" t="s">
        <v>135</v>
      </c>
      <c r="C34" s="13" t="n">
        <v>8.9</v>
      </c>
      <c r="D34" s="14" t="n">
        <v>2028</v>
      </c>
      <c r="E34" s="14" t="n">
        <v>2031</v>
      </c>
      <c r="F34" s="14" t="s">
        <v>18</v>
      </c>
      <c r="G34" s="15" t="n">
        <v>1</v>
      </c>
      <c r="H34" s="16" t="n">
        <f aca="false">INDEX(Assumptions!$F$6:$F$12,MATCH(F34,Assumptions!$B$6:$B$12,0))*G34</f>
        <v>4265.73185731857</v>
      </c>
      <c r="I34" s="17" t="n">
        <f aca="false">INDEX(Assumptions!$G$6:$G$12,MATCH(F34,Assumptions!$B$6:$B$12,0))</f>
        <v>0.45</v>
      </c>
      <c r="J34" s="18" t="n">
        <f aca="false">C34*H34*I34</f>
        <v>17084.2560885609</v>
      </c>
      <c r="K34" s="18" t="n">
        <f aca="false">C34*H34*(1-I34)</f>
        <v>20880.7574415744</v>
      </c>
      <c r="L34" s="18" t="n">
        <f aca="false">(J34+K34)*Assumptions!$C$20</f>
        <v>13287.7547355474</v>
      </c>
      <c r="M34" s="18" t="n">
        <f aca="false">J34+K34+L34</f>
        <v>51252.7682656827</v>
      </c>
      <c r="N34" s="18" t="n">
        <f aca="false">M34/(E34-D34+1)</f>
        <v>12813.1920664207</v>
      </c>
      <c r="O34" s="19" t="n">
        <v>200</v>
      </c>
      <c r="P34" s="18" t="n">
        <f aca="false">C34*O34</f>
        <v>1780</v>
      </c>
      <c r="Q34" s="18" t="n">
        <f aca="false">P34*Assumptions!$C$21+P34*(1+Assumptions!$C$21)*Assumptions!$C$20</f>
        <v>2545.4</v>
      </c>
      <c r="R34" s="18" t="n">
        <f aca="false">P34+Q34</f>
        <v>4325.4</v>
      </c>
      <c r="S34" s="12" t="s">
        <v>138</v>
      </c>
    </row>
    <row r="35" customFormat="false" ht="15" hidden="false" customHeight="false" outlineLevel="0" collapsed="false">
      <c r="A35" s="12" t="s">
        <v>139</v>
      </c>
      <c r="B35" s="12" t="s">
        <v>135</v>
      </c>
      <c r="C35" s="13" t="n">
        <v>7.12</v>
      </c>
      <c r="D35" s="14" t="n">
        <v>2027</v>
      </c>
      <c r="E35" s="14" t="n">
        <v>2030</v>
      </c>
      <c r="F35" s="14" t="s">
        <v>30</v>
      </c>
      <c r="G35" s="15" t="n">
        <v>1</v>
      </c>
      <c r="H35" s="16" t="n">
        <f aca="false">INDEX(Assumptions!$F$6:$F$12,MATCH(F35,Assumptions!$B$6:$B$12,0))*G35</f>
        <v>3310.9471094711</v>
      </c>
      <c r="I35" s="17" t="n">
        <f aca="false">INDEX(Assumptions!$G$6:$G$12,MATCH(F35,Assumptions!$B$6:$B$12,0))</f>
        <v>0.4</v>
      </c>
      <c r="J35" s="18" t="n">
        <f aca="false">C35*H35*I35</f>
        <v>9429.57736777368</v>
      </c>
      <c r="K35" s="18" t="n">
        <f aca="false">C35*H35*(1-I35)</f>
        <v>14144.3660516605</v>
      </c>
      <c r="L35" s="18" t="n">
        <f aca="false">(J35+K35)*Assumptions!$C$20</f>
        <v>8250.88019680197</v>
      </c>
      <c r="M35" s="18" t="n">
        <f aca="false">J35+K35+L35</f>
        <v>31824.8236162362</v>
      </c>
      <c r="N35" s="18" t="n">
        <f aca="false">M35/(E35-D35+1)</f>
        <v>7956.20590405904</v>
      </c>
      <c r="O35" s="19" t="n">
        <v>300</v>
      </c>
      <c r="P35" s="18" t="n">
        <f aca="false">C35*O35</f>
        <v>2136</v>
      </c>
      <c r="Q35" s="18" t="n">
        <f aca="false">P35*Assumptions!$C$21+P35*(1+Assumptions!$C$21)*Assumptions!$C$20</f>
        <v>3054.48</v>
      </c>
      <c r="R35" s="18" t="n">
        <f aca="false">P35+Q35</f>
        <v>5190.48</v>
      </c>
      <c r="S35" s="12" t="s">
        <v>140</v>
      </c>
    </row>
    <row r="36" customFormat="false" ht="15" hidden="false" customHeight="false" outlineLevel="0" collapsed="false">
      <c r="A36" s="12" t="s">
        <v>141</v>
      </c>
      <c r="B36" s="12" t="s">
        <v>135</v>
      </c>
      <c r="C36" s="13" t="n">
        <v>1</v>
      </c>
      <c r="D36" s="14" t="n">
        <v>2028</v>
      </c>
      <c r="E36" s="14" t="n">
        <v>2031</v>
      </c>
      <c r="F36" s="14" t="s">
        <v>30</v>
      </c>
      <c r="G36" s="15" t="n">
        <v>1</v>
      </c>
      <c r="H36" s="16" t="n">
        <f aca="false">INDEX(Assumptions!$F$6:$F$12,MATCH(F36,Assumptions!$B$6:$B$12,0))*G36</f>
        <v>3310.9471094711</v>
      </c>
      <c r="I36" s="17" t="n">
        <f aca="false">INDEX(Assumptions!$G$6:$G$12,MATCH(F36,Assumptions!$B$6:$B$12,0))</f>
        <v>0.4</v>
      </c>
      <c r="J36" s="18" t="n">
        <f aca="false">C36*H36*I36</f>
        <v>1324.37884378844</v>
      </c>
      <c r="K36" s="18" t="n">
        <f aca="false">C36*H36*(1-I36)</f>
        <v>1986.56826568266</v>
      </c>
      <c r="L36" s="18" t="n">
        <f aca="false">(J36+K36)*Assumptions!$C$20</f>
        <v>1158.83148831488</v>
      </c>
      <c r="M36" s="18" t="n">
        <f aca="false">J36+K36+L36</f>
        <v>4469.77859778598</v>
      </c>
      <c r="N36" s="18" t="n">
        <f aca="false">M36/(E36-D36+1)</f>
        <v>1117.44464944649</v>
      </c>
      <c r="O36" s="19" t="n">
        <v>200</v>
      </c>
      <c r="P36" s="18" t="n">
        <f aca="false">C36*O36</f>
        <v>200</v>
      </c>
      <c r="Q36" s="18" t="n">
        <f aca="false">P36*Assumptions!$C$21+P36*(1+Assumptions!$C$21)*Assumptions!$C$20</f>
        <v>286</v>
      </c>
      <c r="R36" s="18" t="n">
        <f aca="false">P36+Q36</f>
        <v>486</v>
      </c>
      <c r="S36" s="12" t="s">
        <v>142</v>
      </c>
    </row>
    <row r="37" customFormat="false" ht="15" hidden="false" customHeight="false" outlineLevel="0" collapsed="false">
      <c r="A37" s="4" t="s">
        <v>143</v>
      </c>
      <c r="B37" s="2"/>
      <c r="C37" s="20" t="n">
        <f aca="false">SUM(C2:C36)</f>
        <v>2091.475</v>
      </c>
      <c r="D37" s="2"/>
      <c r="E37" s="2"/>
      <c r="F37" s="2"/>
      <c r="G37" s="2"/>
      <c r="H37" s="2"/>
      <c r="I37" s="2"/>
      <c r="J37" s="21" t="n">
        <f aca="false">SUM(J2:J36)</f>
        <v>4382421.10238101</v>
      </c>
      <c r="K37" s="21" t="n">
        <f aca="false">SUM(K2:K36)</f>
        <v>4070900.66342426</v>
      </c>
      <c r="L37" s="21" t="n">
        <f aca="false">SUM(L2:L36)</f>
        <v>2958662.61803184</v>
      </c>
      <c r="M37" s="21" t="n">
        <f aca="false">SUM(M2:M36)</f>
        <v>11411984.3838371</v>
      </c>
      <c r="N37" s="2"/>
      <c r="O37" s="2"/>
      <c r="P37" s="21" t="n">
        <f aca="false">SUM(P2:P36)</f>
        <v>401727.17</v>
      </c>
      <c r="Q37" s="21" t="n">
        <f aca="false">SUM(Q2:Q36)</f>
        <v>574469.8531</v>
      </c>
      <c r="R37" s="21" t="n">
        <f aca="false">SUM(R2:R36)</f>
        <v>976197.0231</v>
      </c>
      <c r="S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false" outlineLevel="0" collapsed="false">
      <c r="A39" s="3" t="s">
        <v>144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5" hidden="false" customHeight="false" outlineLevel="0" collapsed="false">
      <c r="A40" s="3" t="s">
        <v>145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4"/>
    <col collapsed="false" customWidth="true" hidden="false" outlineLevel="0" max="7" min="6" style="0" width="16"/>
    <col collapsed="false" customWidth="true" hidden="false" outlineLevel="0" max="8" min="8" style="0" width="13"/>
    <col collapsed="false" customWidth="true" hidden="false" outlineLevel="0" max="10" min="9" style="0" width="16"/>
  </cols>
  <sheetData>
    <row r="1" customFormat="false" ht="45" hidden="false" customHeight="true" outlineLevel="0" collapsed="false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154</v>
      </c>
      <c r="J1" s="5" t="s">
        <v>155</v>
      </c>
    </row>
    <row r="2" customFormat="false" ht="15" hidden="false" customHeight="false" outlineLevel="0" collapsed="false">
      <c r="A2" s="2" t="s">
        <v>156</v>
      </c>
      <c r="B2" s="22" t="n">
        <f aca="false">SUMPRODUCT((Projects!$D$2:$D$36&lt;=2027)*(Projects!$E$2:$E$36&gt;=2027)*Projects!$J$2:$J$36/(Projects!$E$2:$E$36-Projects!$D$2:$D$36+1))</f>
        <v>329467.174876622</v>
      </c>
      <c r="C2" s="22" t="n">
        <f aca="false">SUMPRODUCT((Projects!$D$2:$D$36&lt;=2027)*(Projects!$E$2:$E$36&gt;=2027)*Projects!$K$2:$K$36/(Projects!$E$2:$E$36-Projects!$D$2:$D$36+1))</f>
        <v>318507.870090988</v>
      </c>
      <c r="D2" s="22" t="n">
        <f aca="false">SUMPRODUCT((Projects!$D$2:$D$36&lt;=2027)*(Projects!$E$2:$E$36&gt;=2027)*Projects!$L$2:$L$36/(Projects!$E$2:$E$36-Projects!$D$2:$D$36+1))</f>
        <v>226791.265738663</v>
      </c>
      <c r="E2" s="22" t="n">
        <f aca="false">B2+C2+D2</f>
        <v>874766.310706273</v>
      </c>
      <c r="F2" s="22" t="n">
        <f aca="false">SUMPRODUCT((Projects!$E$2:$E$36&lt;2027)*Projects!$R$2:$R$36)</f>
        <v>0</v>
      </c>
      <c r="G2" s="22" t="n">
        <f aca="false">E2+F2</f>
        <v>874766.310706273</v>
      </c>
      <c r="H2" s="23" t="n">
        <f aca="false">Assumptions!$C$24*(1+Assumptions!$C$27)^(2027-2026)</f>
        <v>156.799902</v>
      </c>
      <c r="I2" s="24" t="n">
        <f aca="false">G2/1000000*Assumptions!$C$28/H2*100</f>
        <v>0.223154810570296</v>
      </c>
      <c r="J2" s="10" t="n">
        <f aca="false">Assumptions!$C$26-I2/100</f>
        <v>0.0445052668190921</v>
      </c>
    </row>
    <row r="3" customFormat="false" ht="15" hidden="false" customHeight="false" outlineLevel="0" collapsed="false">
      <c r="A3" s="2" t="s">
        <v>157</v>
      </c>
      <c r="B3" s="22" t="n">
        <f aca="false">SUMPRODUCT((Projects!$D$2:$D$36&lt;=2028)*(Projects!$E$2:$E$36&gt;=2028)*Projects!$J$2:$J$36/(Projects!$E$2:$E$36-Projects!$D$2:$D$36+1))</f>
        <v>987034.1097448</v>
      </c>
      <c r="C3" s="22" t="n">
        <f aca="false">SUMPRODUCT((Projects!$D$2:$D$36&lt;=2028)*(Projects!$E$2:$E$36&gt;=2028)*Projects!$K$2:$K$36/(Projects!$E$2:$E$36-Projects!$D$2:$D$36+1))</f>
        <v>911586.187611232</v>
      </c>
      <c r="D3" s="22" t="n">
        <f aca="false">SUMPRODUCT((Projects!$D$2:$D$36&lt;=2028)*(Projects!$E$2:$E$36&gt;=2028)*Projects!$L$2:$L$36/(Projects!$E$2:$E$36-Projects!$D$2:$D$36+1))</f>
        <v>664517.104074611</v>
      </c>
      <c r="E3" s="22" t="n">
        <f aca="false">B3+C3+D3</f>
        <v>2563137.40143064</v>
      </c>
      <c r="F3" s="22" t="n">
        <f aca="false">SUMPRODUCT((Projects!$E$2:$E$36&lt;2028)*Projects!$R$2:$R$36)</f>
        <v>0</v>
      </c>
      <c r="G3" s="22" t="n">
        <f aca="false">E3+F3</f>
        <v>2563137.40143064</v>
      </c>
      <c r="H3" s="23" t="n">
        <f aca="false">Assumptions!$C$24*(1+Assumptions!$C$27)^(2028-2026)</f>
        <v>158.7128608044</v>
      </c>
      <c r="I3" s="24" t="n">
        <f aca="false">G3/1000000*Assumptions!$C$28/H3*100</f>
        <v>0.645981022190632</v>
      </c>
      <c r="J3" s="10" t="n">
        <f aca="false">Assumptions!$C$26-I3/100</f>
        <v>0.0402770047028887</v>
      </c>
    </row>
    <row r="4" customFormat="false" ht="15" hidden="false" customHeight="false" outlineLevel="0" collapsed="false">
      <c r="A4" s="2" t="s">
        <v>158</v>
      </c>
      <c r="B4" s="22" t="n">
        <f aca="false">SUMPRODUCT((Projects!$D$2:$D$36&lt;=2029)*(Projects!$E$2:$E$36&gt;=2029)*Projects!$J$2:$J$36/(Projects!$E$2:$E$36-Projects!$D$2:$D$36+1))</f>
        <v>1015607.89026797</v>
      </c>
      <c r="C4" s="22" t="n">
        <f aca="false">SUMPRODUCT((Projects!$D$2:$D$36&lt;=2029)*(Projects!$E$2:$E$36&gt;=2029)*Projects!$K$2:$K$36/(Projects!$E$2:$E$36-Projects!$D$2:$D$36+1))</f>
        <v>954446.858395979</v>
      </c>
      <c r="D4" s="22" t="n">
        <f aca="false">SUMPRODUCT((Projects!$D$2:$D$36&lt;=2029)*(Projects!$E$2:$E$36&gt;=2029)*Projects!$L$2:$L$36/(Projects!$E$2:$E$36-Projects!$D$2:$D$36+1))</f>
        <v>689519.162032381</v>
      </c>
      <c r="E4" s="22" t="n">
        <f aca="false">B4+C4+D4</f>
        <v>2659573.91069633</v>
      </c>
      <c r="F4" s="22" t="n">
        <f aca="false">SUMPRODUCT((Projects!$E$2:$E$36&lt;2029)*Projects!$R$2:$R$36)</f>
        <v>0</v>
      </c>
      <c r="G4" s="22" t="n">
        <f aca="false">E4+F4</f>
        <v>2659573.91069633</v>
      </c>
      <c r="H4" s="23" t="n">
        <f aca="false">Assumptions!$C$24*(1+Assumptions!$C$27)^(2029-2026)</f>
        <v>160.649157706214</v>
      </c>
      <c r="I4" s="24" t="n">
        <f aca="false">G4/1000000*Assumptions!$C$28/H4*100</f>
        <v>0.662206748835872</v>
      </c>
      <c r="J4" s="10" t="n">
        <f aca="false">Assumptions!$C$26-I4/100</f>
        <v>0.0401147474364363</v>
      </c>
    </row>
    <row r="5" customFormat="false" ht="15" hidden="false" customHeight="false" outlineLevel="0" collapsed="false">
      <c r="A5" s="2" t="s">
        <v>159</v>
      </c>
      <c r="B5" s="22" t="n">
        <f aca="false">SUMPRODUCT((Projects!$D$2:$D$36&lt;=2030)*(Projects!$E$2:$E$36&gt;=2030)*Projects!$J$2:$J$36/(Projects!$E$2:$E$36-Projects!$D$2:$D$36+1))</f>
        <v>999611.395803021</v>
      </c>
      <c r="C5" s="22" t="n">
        <f aca="false">SUMPRODUCT((Projects!$D$2:$D$36&lt;=2030)*(Projects!$E$2:$E$36&gt;=2030)*Projects!$K$2:$K$36/(Projects!$E$2:$E$36-Projects!$D$2:$D$36+1))</f>
        <v>934895.587383269</v>
      </c>
      <c r="D5" s="22" t="n">
        <f aca="false">SUMPRODUCT((Projects!$D$2:$D$36&lt;=2030)*(Projects!$E$2:$E$36&gt;=2030)*Projects!$L$2:$L$36/(Projects!$E$2:$E$36-Projects!$D$2:$D$36+1))</f>
        <v>677077.444115201</v>
      </c>
      <c r="E5" s="22" t="n">
        <f aca="false">B5+C5+D5</f>
        <v>2611584.42730149</v>
      </c>
      <c r="F5" s="22" t="n">
        <f aca="false">SUMPRODUCT((Projects!$E$2:$E$36&lt;2030)*Projects!$R$2:$R$36)</f>
        <v>24300</v>
      </c>
      <c r="G5" s="22" t="n">
        <f aca="false">E5+F5</f>
        <v>2635884.42730149</v>
      </c>
      <c r="H5" s="23" t="n">
        <f aca="false">Assumptions!$C$24*(1+Assumptions!$C$27)^(2030-2026)</f>
        <v>162.60907743023</v>
      </c>
      <c r="I5" s="24" t="n">
        <f aca="false">G5/1000000*Assumptions!$C$28/H5*100</f>
        <v>0.648397855509012</v>
      </c>
      <c r="J5" s="10" t="n">
        <f aca="false">Assumptions!$C$26-I5/100</f>
        <v>0.0402528363697049</v>
      </c>
    </row>
    <row r="6" customFormat="false" ht="15" hidden="false" customHeight="false" outlineLevel="0" collapsed="false">
      <c r="A6" s="2" t="s">
        <v>160</v>
      </c>
      <c r="B6" s="22" t="n">
        <f aca="false">SUMPRODUCT((Projects!$D$2:$D$36&lt;=2031)*(Projects!$E$2:$E$36&gt;=2031)*Projects!$J$2:$J$36/(Projects!$E$2:$E$36-Projects!$D$2:$D$36+1))</f>
        <v>895195.273392197</v>
      </c>
      <c r="C6" s="22" t="n">
        <f aca="false">SUMPRODUCT((Projects!$D$2:$D$36&lt;=2031)*(Projects!$E$2:$E$36&gt;=2031)*Projects!$K$2:$K$36/(Projects!$E$2:$E$36-Projects!$D$2:$D$36+1))</f>
        <v>802948.662561621</v>
      </c>
      <c r="D6" s="22" t="n">
        <f aca="false">SUMPRODUCT((Projects!$D$2:$D$36&lt;=2031)*(Projects!$E$2:$E$36&gt;=2031)*Projects!$L$2:$L$36/(Projects!$E$2:$E$36-Projects!$D$2:$D$36+1))</f>
        <v>594350.377583836</v>
      </c>
      <c r="E6" s="22" t="n">
        <f aca="false">B6+C6+D6</f>
        <v>2292494.31353765</v>
      </c>
      <c r="F6" s="22" t="n">
        <f aca="false">SUMPRODUCT((Projects!$E$2:$E$36&lt;2031)*Projects!$R$2:$R$36)</f>
        <v>92468.304</v>
      </c>
      <c r="G6" s="22" t="n">
        <f aca="false">E6+F6</f>
        <v>2384962.61753765</v>
      </c>
      <c r="H6" s="23" t="n">
        <f aca="false">Assumptions!$C$24*(1+Assumptions!$C$27)^(2031-2026)</f>
        <v>164.592908174878</v>
      </c>
      <c r="I6" s="24" t="n">
        <f aca="false">G6/1000000*Assumptions!$C$28/H6*100</f>
        <v>0.579602765145545</v>
      </c>
      <c r="J6" s="10" t="n">
        <f aca="false">Assumptions!$C$26-I6/100</f>
        <v>0.0409407872733396</v>
      </c>
    </row>
    <row r="7" customFormat="false" ht="15" hidden="false" customHeight="false" outlineLevel="0" collapsed="false">
      <c r="A7" s="2" t="s">
        <v>161</v>
      </c>
      <c r="B7" s="22" t="n">
        <f aca="false">SUMPRODUCT((Projects!$D$2:$D$36&lt;=2032)*(Projects!$E$2:$E$36&gt;=2032)*Projects!$J$2:$J$36/(Projects!$E$2:$E$36-Projects!$D$2:$D$36+1))</f>
        <v>155505.258296402</v>
      </c>
      <c r="C7" s="22" t="n">
        <f aca="false">SUMPRODUCT((Projects!$D$2:$D$36&lt;=2032)*(Projects!$E$2:$E$36&gt;=2032)*Projects!$K$2:$K$36/(Projects!$E$2:$E$36-Projects!$D$2:$D$36+1))</f>
        <v>148515.497381175</v>
      </c>
      <c r="D7" s="22" t="n">
        <f aca="false">SUMPRODUCT((Projects!$D$2:$D$36&lt;=2032)*(Projects!$E$2:$E$36&gt;=2032)*Projects!$L$2:$L$36/(Projects!$E$2:$E$36-Projects!$D$2:$D$36+1))</f>
        <v>106407.264487152</v>
      </c>
      <c r="E7" s="22" t="n">
        <f aca="false">B7+C7+D7</f>
        <v>410428.020164729</v>
      </c>
      <c r="F7" s="22" t="n">
        <f aca="false">SUMPRODUCT((Projects!$E$2:$E$36&lt;2032)*Projects!$R$2:$R$36)</f>
        <v>883655.6976</v>
      </c>
      <c r="G7" s="22" t="n">
        <f aca="false">E7+F7</f>
        <v>1294083.71776473</v>
      </c>
      <c r="H7" s="23" t="n">
        <f aca="false">Assumptions!$C$24*(1+Assumptions!$C$27)^(2032-2026)</f>
        <v>166.600941654612</v>
      </c>
      <c r="I7" s="24" t="n">
        <f aca="false">G7/1000000*Assumptions!$C$28/H7*100</f>
        <v>0.310702617863362</v>
      </c>
      <c r="J7" s="10" t="n">
        <f aca="false">Assumptions!$C$26-I7/100</f>
        <v>0.0436297887461614</v>
      </c>
    </row>
    <row r="8" customFormat="false" ht="15" hidden="false" customHeight="false" outlineLevel="0" collapsed="false">
      <c r="A8" s="2" t="s">
        <v>162</v>
      </c>
      <c r="B8" s="22" t="n">
        <f aca="false">SUMPRODUCT((Projects!$D$2:$D$36&lt;=2033)*(Projects!$E$2:$E$36&gt;=2033)*Projects!$J$2:$J$36/(Projects!$E$2:$E$36-Projects!$D$2:$D$36+1))</f>
        <v>0</v>
      </c>
      <c r="C8" s="22" t="n">
        <f aca="false">SUMPRODUCT((Projects!$D$2:$D$36&lt;=2033)*(Projects!$E$2:$E$36&gt;=2033)*Projects!$K$2:$K$36/(Projects!$E$2:$E$36-Projects!$D$2:$D$36+1))</f>
        <v>0</v>
      </c>
      <c r="D8" s="22" t="n">
        <f aca="false">SUMPRODUCT((Projects!$D$2:$D$36&lt;=2033)*(Projects!$E$2:$E$36&gt;=2033)*Projects!$L$2:$L$36/(Projects!$E$2:$E$36-Projects!$D$2:$D$36+1))</f>
        <v>0</v>
      </c>
      <c r="E8" s="22" t="n">
        <f aca="false">B8+C8+D8</f>
        <v>0</v>
      </c>
      <c r="F8" s="22" t="n">
        <f aca="false">SUMPRODUCT((Projects!$E$2:$E$36&lt;2033)*Projects!$R$2:$R$36)</f>
        <v>976197.0231</v>
      </c>
      <c r="G8" s="22" t="n">
        <f aca="false">E8+F8</f>
        <v>976197.0231</v>
      </c>
      <c r="H8" s="23" t="n">
        <f aca="false">Assumptions!$C$24*(1+Assumptions!$C$27)^(2033-2026)</f>
        <v>168.633473142798</v>
      </c>
      <c r="I8" s="24" t="n">
        <f aca="false">G8/1000000*Assumptions!$C$28/H8*100</f>
        <v>0.231554745308095</v>
      </c>
      <c r="J8" s="10" t="n">
        <f aca="false">Assumptions!$C$26-I8/100</f>
        <v>0.0444212674717141</v>
      </c>
    </row>
    <row r="9" customFormat="false" ht="15" hidden="false" customHeight="false" outlineLevel="0" collapsed="false">
      <c r="A9" s="2" t="s">
        <v>163</v>
      </c>
      <c r="B9" s="22" t="n">
        <f aca="false">SUMPRODUCT((Projects!$D$2:$D$36&lt;=2034)*(Projects!$E$2:$E$36&gt;=2034)*Projects!$J$2:$J$36/(Projects!$E$2:$E$36-Projects!$D$2:$D$36+1))</f>
        <v>0</v>
      </c>
      <c r="C9" s="22" t="n">
        <f aca="false">SUMPRODUCT((Projects!$D$2:$D$36&lt;=2034)*(Projects!$E$2:$E$36&gt;=2034)*Projects!$K$2:$K$36/(Projects!$E$2:$E$36-Projects!$D$2:$D$36+1))</f>
        <v>0</v>
      </c>
      <c r="D9" s="22" t="n">
        <f aca="false">SUMPRODUCT((Projects!$D$2:$D$36&lt;=2034)*(Projects!$E$2:$E$36&gt;=2034)*Projects!$L$2:$L$36/(Projects!$E$2:$E$36-Projects!$D$2:$D$36+1))</f>
        <v>0</v>
      </c>
      <c r="E9" s="22" t="n">
        <f aca="false">B9+C9+D9</f>
        <v>0</v>
      </c>
      <c r="F9" s="22" t="n">
        <f aca="false">SUMPRODUCT((Projects!$E$2:$E$36&lt;2034)*Projects!$R$2:$R$36)</f>
        <v>976197.0231</v>
      </c>
      <c r="G9" s="22" t="n">
        <f aca="false">E9+F9</f>
        <v>976197.0231</v>
      </c>
      <c r="H9" s="23" t="n">
        <f aca="false">Assumptions!$C$24*(1+Assumptions!$C$27)^(2034-2026)</f>
        <v>170.69080151514</v>
      </c>
      <c r="I9" s="24" t="n">
        <f aca="false">G9/1000000*Assumptions!$C$28/H9*100</f>
        <v>0.22876382662329</v>
      </c>
      <c r="J9" s="10" t="n">
        <f aca="false">Assumptions!$C$26-I9/100</f>
        <v>0.0444491766585621</v>
      </c>
    </row>
    <row r="10" customFormat="false" ht="15" hidden="false" customHeight="false" outlineLevel="0" collapsed="false">
      <c r="A10" s="2" t="s">
        <v>164</v>
      </c>
      <c r="B10" s="22" t="n">
        <f aca="false">SUMPRODUCT((Projects!$D$2:$D$36&lt;=2035)*(Projects!$E$2:$E$36&gt;=2035)*Projects!$J$2:$J$36/(Projects!$E$2:$E$36-Projects!$D$2:$D$36+1))</f>
        <v>0</v>
      </c>
      <c r="C10" s="22" t="n">
        <f aca="false">SUMPRODUCT((Projects!$D$2:$D$36&lt;=2035)*(Projects!$E$2:$E$36&gt;=2035)*Projects!$K$2:$K$36/(Projects!$E$2:$E$36-Projects!$D$2:$D$36+1))</f>
        <v>0</v>
      </c>
      <c r="D10" s="22" t="n">
        <f aca="false">SUMPRODUCT((Projects!$D$2:$D$36&lt;=2035)*(Projects!$E$2:$E$36&gt;=2035)*Projects!$L$2:$L$36/(Projects!$E$2:$E$36-Projects!$D$2:$D$36+1))</f>
        <v>0</v>
      </c>
      <c r="E10" s="22" t="n">
        <f aca="false">B10+C10+D10</f>
        <v>0</v>
      </c>
      <c r="F10" s="22" t="n">
        <f aca="false">SUMPRODUCT((Projects!$E$2:$E$36&lt;2035)*Projects!$R$2:$R$36)</f>
        <v>976197.0231</v>
      </c>
      <c r="G10" s="22" t="n">
        <f aca="false">E10+F10</f>
        <v>976197.0231</v>
      </c>
      <c r="H10" s="23" t="n">
        <f aca="false">Assumptions!$C$24*(1+Assumptions!$C$27)^(2035-2026)</f>
        <v>172.773229293625</v>
      </c>
      <c r="I10" s="24" t="n">
        <f aca="false">G10/1000000*Assumptions!$C$28/H10*100</f>
        <v>0.226006546752905</v>
      </c>
      <c r="J10" s="10" t="n">
        <f aca="false">Assumptions!$C$26-I10/100</f>
        <v>0.044476749457266</v>
      </c>
    </row>
    <row r="11" customFormat="false" ht="15" hidden="false" customHeight="false" outlineLevel="0" collapsed="false">
      <c r="A11" s="2" t="s">
        <v>165</v>
      </c>
      <c r="B11" s="22" t="n">
        <f aca="false">SUMPRODUCT((Projects!$D$2:$D$36&lt;=2036)*(Projects!$E$2:$E$36&gt;=2036)*Projects!$J$2:$J$36/(Projects!$E$2:$E$36-Projects!$D$2:$D$36+1))</f>
        <v>0</v>
      </c>
      <c r="C11" s="22" t="n">
        <f aca="false">SUMPRODUCT((Projects!$D$2:$D$36&lt;=2036)*(Projects!$E$2:$E$36&gt;=2036)*Projects!$K$2:$K$36/(Projects!$E$2:$E$36-Projects!$D$2:$D$36+1))</f>
        <v>0</v>
      </c>
      <c r="D11" s="22" t="n">
        <f aca="false">SUMPRODUCT((Projects!$D$2:$D$36&lt;=2036)*(Projects!$E$2:$E$36&gt;=2036)*Projects!$L$2:$L$36/(Projects!$E$2:$E$36-Projects!$D$2:$D$36+1))</f>
        <v>0</v>
      </c>
      <c r="E11" s="22" t="n">
        <f aca="false">B11+C11+D11</f>
        <v>0</v>
      </c>
      <c r="F11" s="22" t="n">
        <f aca="false">SUMPRODUCT((Projects!$E$2:$E$36&lt;2036)*Projects!$R$2:$R$36)</f>
        <v>976197.0231</v>
      </c>
      <c r="G11" s="22" t="n">
        <f aca="false">E11+F11</f>
        <v>976197.0231</v>
      </c>
      <c r="H11" s="23" t="n">
        <f aca="false">Assumptions!$C$24*(1+Assumptions!$C$27)^(2036-2026)</f>
        <v>174.881062691007</v>
      </c>
      <c r="I11" s="24" t="n">
        <f aca="false">G11/1000000*Assumptions!$C$28/H11*100</f>
        <v>0.223282500249857</v>
      </c>
      <c r="J11" s="10" t="n">
        <f aca="false">Assumptions!$C$26-I11/100</f>
        <v>0.0445039899222965</v>
      </c>
    </row>
    <row r="12" customFormat="false" ht="15" hidden="false" customHeight="false" outlineLevel="0" collapsed="false">
      <c r="A12" s="2" t="s">
        <v>166</v>
      </c>
      <c r="B12" s="22" t="n">
        <f aca="false">SUMPRODUCT((Projects!$D$2:$D$36&lt;=2037)*(Projects!$E$2:$E$36&gt;=2037)*Projects!$J$2:$J$36/(Projects!$E$2:$E$36-Projects!$D$2:$D$36+1))</f>
        <v>0</v>
      </c>
      <c r="C12" s="22" t="n">
        <f aca="false">SUMPRODUCT((Projects!$D$2:$D$36&lt;=2037)*(Projects!$E$2:$E$36&gt;=2037)*Projects!$K$2:$K$36/(Projects!$E$2:$E$36-Projects!$D$2:$D$36+1))</f>
        <v>0</v>
      </c>
      <c r="D12" s="22" t="n">
        <f aca="false">SUMPRODUCT((Projects!$D$2:$D$36&lt;=2037)*(Projects!$E$2:$E$36&gt;=2037)*Projects!$L$2:$L$36/(Projects!$E$2:$E$36-Projects!$D$2:$D$36+1))</f>
        <v>0</v>
      </c>
      <c r="E12" s="22" t="n">
        <f aca="false">B12+C12+D12</f>
        <v>0</v>
      </c>
      <c r="F12" s="22" t="n">
        <f aca="false">SUMPRODUCT((Projects!$E$2:$E$36&lt;2037)*Projects!$R$2:$R$36)</f>
        <v>976197.0231</v>
      </c>
      <c r="G12" s="22" t="n">
        <f aca="false">E12+F12</f>
        <v>976197.0231</v>
      </c>
      <c r="H12" s="23" t="n">
        <f aca="false">Assumptions!$C$24*(1+Assumptions!$C$27)^(2037-2026)</f>
        <v>177.014611655837</v>
      </c>
      <c r="I12" s="24" t="n">
        <f aca="false">G12/1000000*Assumptions!$C$28/H12*100</f>
        <v>0.220591286553899</v>
      </c>
      <c r="J12" s="10" t="n">
        <f aca="false">Assumptions!$C$26-I12/100</f>
        <v>0.0445309020592561</v>
      </c>
    </row>
    <row r="13" customFormat="false" ht="15" hidden="false" customHeight="false" outlineLevel="0" collapsed="false">
      <c r="A13" s="2" t="s">
        <v>167</v>
      </c>
      <c r="B13" s="22" t="n">
        <f aca="false">SUMPRODUCT((Projects!$D$2:$D$36&lt;=2038)*(Projects!$E$2:$E$36&gt;=2038)*Projects!$J$2:$J$36/(Projects!$E$2:$E$36-Projects!$D$2:$D$36+1))</f>
        <v>0</v>
      </c>
      <c r="C13" s="22" t="n">
        <f aca="false">SUMPRODUCT((Projects!$D$2:$D$36&lt;=2038)*(Projects!$E$2:$E$36&gt;=2038)*Projects!$K$2:$K$36/(Projects!$E$2:$E$36-Projects!$D$2:$D$36+1))</f>
        <v>0</v>
      </c>
      <c r="D13" s="22" t="n">
        <f aca="false">SUMPRODUCT((Projects!$D$2:$D$36&lt;=2038)*(Projects!$E$2:$E$36&gt;=2038)*Projects!$L$2:$L$36/(Projects!$E$2:$E$36-Projects!$D$2:$D$36+1))</f>
        <v>0</v>
      </c>
      <c r="E13" s="22" t="n">
        <f aca="false">B13+C13+D13</f>
        <v>0</v>
      </c>
      <c r="F13" s="22" t="n">
        <f aca="false">SUMPRODUCT((Projects!$E$2:$E$36&lt;2038)*Projects!$R$2:$R$36)</f>
        <v>976197.0231</v>
      </c>
      <c r="G13" s="22" t="n">
        <f aca="false">E13+F13</f>
        <v>976197.0231</v>
      </c>
      <c r="H13" s="23" t="n">
        <f aca="false">Assumptions!$C$24*(1+Assumptions!$C$27)^(2038-2026)</f>
        <v>179.174189918039</v>
      </c>
      <c r="I13" s="24" t="n">
        <f aca="false">G13/1000000*Assumptions!$C$28/H13*100</f>
        <v>0.21793250993272</v>
      </c>
      <c r="J13" s="10" t="n">
        <f aca="false">Assumptions!$C$26-I13/100</f>
        <v>0.0445574898254678</v>
      </c>
    </row>
    <row r="14" customFormat="false" ht="15" hidden="false" customHeight="false" outlineLevel="0" collapsed="false">
      <c r="A14" s="2" t="s">
        <v>168</v>
      </c>
      <c r="B14" s="22" t="n">
        <f aca="false">SUMPRODUCT((Projects!$D$2:$D$36&lt;=2039)*(Projects!$E$2:$E$36&gt;=2039)*Projects!$J$2:$J$36/(Projects!$E$2:$E$36-Projects!$D$2:$D$36+1))</f>
        <v>0</v>
      </c>
      <c r="C14" s="22" t="n">
        <f aca="false">SUMPRODUCT((Projects!$D$2:$D$36&lt;=2039)*(Projects!$E$2:$E$36&gt;=2039)*Projects!$K$2:$K$36/(Projects!$E$2:$E$36-Projects!$D$2:$D$36+1))</f>
        <v>0</v>
      </c>
      <c r="D14" s="22" t="n">
        <f aca="false">SUMPRODUCT((Projects!$D$2:$D$36&lt;=2039)*(Projects!$E$2:$E$36&gt;=2039)*Projects!$L$2:$L$36/(Projects!$E$2:$E$36-Projects!$D$2:$D$36+1))</f>
        <v>0</v>
      </c>
      <c r="E14" s="22" t="n">
        <f aca="false">B14+C14+D14</f>
        <v>0</v>
      </c>
      <c r="F14" s="22" t="n">
        <f aca="false">SUMPRODUCT((Projects!$E$2:$E$36&lt;2039)*Projects!$R$2:$R$36)</f>
        <v>976197.0231</v>
      </c>
      <c r="G14" s="22" t="n">
        <f aca="false">E14+F14</f>
        <v>976197.0231</v>
      </c>
      <c r="H14" s="23" t="n">
        <f aca="false">Assumptions!$C$24*(1+Assumptions!$C$27)^(2039-2026)</f>
        <v>181.360115035039</v>
      </c>
      <c r="I14" s="24" t="n">
        <f aca="false">G14/1000000*Assumptions!$C$28/H14*100</f>
        <v>0.21530577942375</v>
      </c>
      <c r="J14" s="10" t="n">
        <f aca="false">Assumptions!$C$26-I14/100</f>
        <v>0.0445837571305575</v>
      </c>
    </row>
    <row r="15" customFormat="false" ht="15" hidden="false" customHeight="false" outlineLevel="0" collapsed="false">
      <c r="A15" s="2" t="s">
        <v>169</v>
      </c>
      <c r="B15" s="22" t="n">
        <f aca="false">SUMPRODUCT((Projects!$D$2:$D$36&lt;=2040)*(Projects!$E$2:$E$36&gt;=2040)*Projects!$J$2:$J$36/(Projects!$E$2:$E$36-Projects!$D$2:$D$36+1))</f>
        <v>0</v>
      </c>
      <c r="C15" s="22" t="n">
        <f aca="false">SUMPRODUCT((Projects!$D$2:$D$36&lt;=2040)*(Projects!$E$2:$E$36&gt;=2040)*Projects!$K$2:$K$36/(Projects!$E$2:$E$36-Projects!$D$2:$D$36+1))</f>
        <v>0</v>
      </c>
      <c r="D15" s="22" t="n">
        <f aca="false">SUMPRODUCT((Projects!$D$2:$D$36&lt;=2040)*(Projects!$E$2:$E$36&gt;=2040)*Projects!$L$2:$L$36/(Projects!$E$2:$E$36-Projects!$D$2:$D$36+1))</f>
        <v>0</v>
      </c>
      <c r="E15" s="22" t="n">
        <f aca="false">B15+C15+D15</f>
        <v>0</v>
      </c>
      <c r="F15" s="22" t="n">
        <f aca="false">SUMPRODUCT((Projects!$E$2:$E$36&lt;2040)*Projects!$R$2:$R$36)</f>
        <v>976197.0231</v>
      </c>
      <c r="G15" s="22" t="n">
        <f aca="false">E15+F15</f>
        <v>976197.0231</v>
      </c>
      <c r="H15" s="23" t="n">
        <f aca="false">Assumptions!$C$24*(1+Assumptions!$C$27)^(2040-2026)</f>
        <v>183.572708438466</v>
      </c>
      <c r="I15" s="24" t="n">
        <f aca="false">G15/1000000*Assumptions!$C$28/H15*100</f>
        <v>0.212710708776675</v>
      </c>
      <c r="J15" s="10" t="n">
        <f aca="false">Assumptions!$C$26-I15/100</f>
        <v>0.0446097078370283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170</v>
      </c>
      <c r="B17" s="2"/>
      <c r="C17" s="2"/>
      <c r="D17" s="2"/>
      <c r="E17" s="2"/>
      <c r="F17" s="2"/>
      <c r="G17" s="2"/>
      <c r="H17" s="2"/>
      <c r="I17" s="2"/>
      <c r="J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</cols>
  <sheetData>
    <row r="1" customFormat="false" ht="26.85" hidden="false" customHeight="false" outlineLevel="0" collapsed="false">
      <c r="A1" s="25" t="s">
        <v>54</v>
      </c>
      <c r="B1" s="25" t="s">
        <v>55</v>
      </c>
      <c r="C1" s="25" t="s">
        <v>60</v>
      </c>
      <c r="D1" s="25" t="s">
        <v>61</v>
      </c>
      <c r="E1" s="25" t="s">
        <v>62</v>
      </c>
      <c r="F1" s="25" t="s">
        <v>63</v>
      </c>
      <c r="G1" s="25" t="s">
        <v>171</v>
      </c>
      <c r="H1" s="25" t="s">
        <v>66</v>
      </c>
      <c r="I1" s="25" t="s">
        <v>68</v>
      </c>
    </row>
    <row r="2" customFormat="false" ht="15" hidden="false" customHeight="false" outlineLevel="0" collapsed="false">
      <c r="A2" s="2" t="s">
        <v>172</v>
      </c>
      <c r="B2" s="22" t="n">
        <f aca="false">SUMIFS(Projects!$C$2:$C$36,Projects!$B$2:$B$36,"NR")</f>
        <v>647.847</v>
      </c>
      <c r="C2" s="22" t="n">
        <f aca="false">SUMIFS(Projects!$J$2:$J$36,Projects!$B$2:$B$36,"NR")</f>
        <v>1005590.08781058</v>
      </c>
      <c r="D2" s="22" t="n">
        <f aca="false">SUMIFS(Projects!$K$2:$K$36,Projects!$B$2:$B$36,"NR")</f>
        <v>1225214.85752768</v>
      </c>
      <c r="E2" s="22" t="n">
        <f aca="false">SUMIFS(Projects!$L$2:$L$36,Projects!$B$2:$B$36,"NR")</f>
        <v>780781.730868389</v>
      </c>
      <c r="F2" s="22" t="n">
        <f aca="false">SUMIFS(Projects!$M$2:$M$36,Projects!$B$2:$B$36,"NR")</f>
        <v>3011586.67620664</v>
      </c>
      <c r="G2" s="22" t="n">
        <f aca="false">F2/B2</f>
        <v>4648.60789076224</v>
      </c>
      <c r="H2" s="22" t="n">
        <f aca="false">SUMIFS(Projects!$P$2:$P$36,Projects!$B$2:$B$36,"NR")</f>
        <v>141602.06</v>
      </c>
      <c r="I2" s="22" t="n">
        <f aca="false">SUMIFS(Projects!$R$2:$R$36,Projects!$B$2:$B$36,"NR")</f>
        <v>344093.0058</v>
      </c>
    </row>
    <row r="3" customFormat="false" ht="15" hidden="false" customHeight="false" outlineLevel="0" collapsed="false">
      <c r="A3" s="2" t="s">
        <v>173</v>
      </c>
      <c r="B3" s="22" t="n">
        <f aca="false">SUMIFS(Projects!$C$2:$C$36,Projects!$B$2:$B$36,"INF")</f>
        <v>1112.623</v>
      </c>
      <c r="C3" s="22" t="n">
        <f aca="false">SUMIFS(Projects!$J$2:$J$36,Projects!$B$2:$B$36,"INF")</f>
        <v>2906197.20687749</v>
      </c>
      <c r="D3" s="22" t="n">
        <f aca="false">SUMIFS(Projects!$K$2:$K$36,Projects!$B$2:$B$36,"INF")</f>
        <v>2265501.75847306</v>
      </c>
      <c r="E3" s="22" t="n">
        <f aca="false">SUMIFS(Projects!$L$2:$L$36,Projects!$B$2:$B$36,"INF")</f>
        <v>1810094.63787269</v>
      </c>
      <c r="F3" s="22" t="n">
        <f aca="false">SUMIFS(Projects!$M$2:$M$36,Projects!$B$2:$B$36,"INF")</f>
        <v>6981793.60322325</v>
      </c>
      <c r="G3" s="22" t="n">
        <f aca="false">F3/B3</f>
        <v>6275.07574733153</v>
      </c>
      <c r="H3" s="22" t="n">
        <f aca="false">SUMIFS(Projects!$P$2:$P$36,Projects!$B$2:$B$36,"INF")</f>
        <v>121661.56</v>
      </c>
      <c r="I3" s="22" t="n">
        <f aca="false">SUMIFS(Projects!$R$2:$R$36,Projects!$B$2:$B$36,"INF")</f>
        <v>295637.5908</v>
      </c>
    </row>
    <row r="4" customFormat="false" ht="15" hidden="false" customHeight="false" outlineLevel="0" collapsed="false">
      <c r="A4" s="2" t="s">
        <v>174</v>
      </c>
      <c r="B4" s="22" t="n">
        <f aca="false">SUMIFS(Projects!$C$2:$C$36,Projects!$B$2:$B$36,"DEF")</f>
        <v>224.985</v>
      </c>
      <c r="C4" s="22" t="n">
        <f aca="false">SUMIFS(Projects!$J$2:$J$36,Projects!$B$2:$B$36,"DEF")</f>
        <v>271953.034507205</v>
      </c>
      <c r="D4" s="22" t="n">
        <f aca="false">SUMIFS(Projects!$K$2:$K$36,Projects!$B$2:$B$36,"DEF")</f>
        <v>334364.781248864</v>
      </c>
      <c r="E4" s="22" t="n">
        <f aca="false">SUMIFS(Projects!$L$2:$L$36,Projects!$B$2:$B$36,"DEF")</f>
        <v>212211.235514624</v>
      </c>
      <c r="F4" s="22" t="n">
        <f aca="false">SUMIFS(Projects!$M$2:$M$36,Projects!$B$2:$B$36,"DEF")</f>
        <v>818529.051270693</v>
      </c>
      <c r="G4" s="22" t="n">
        <f aca="false">F4/B4</f>
        <v>3638.14943783227</v>
      </c>
      <c r="H4" s="22" t="n">
        <f aca="false">SUMIFS(Projects!$P$2:$P$36,Projects!$B$2:$B$36,"DEF")</f>
        <v>27547.55</v>
      </c>
      <c r="I4" s="22" t="n">
        <f aca="false">SUMIFS(Projects!$R$2:$R$36,Projects!$B$2:$B$36,"DEF")</f>
        <v>66940.5465</v>
      </c>
    </row>
    <row r="5" customFormat="false" ht="15" hidden="false" customHeight="false" outlineLevel="0" collapsed="false">
      <c r="A5" s="2" t="s">
        <v>175</v>
      </c>
      <c r="B5" s="22" t="n">
        <f aca="false">SUMIFS(Projects!$C$2:$C$36,Projects!$B$2:$B$36,"OTH")</f>
        <v>106.02</v>
      </c>
      <c r="C5" s="22" t="n">
        <f aca="false">SUMIFS(Projects!$J$2:$J$36,Projects!$B$2:$B$36,"OTH")</f>
        <v>198680.773185732</v>
      </c>
      <c r="D5" s="22" t="n">
        <f aca="false">SUMIFS(Projects!$K$2:$K$36,Projects!$B$2:$B$36,"OTH")</f>
        <v>245819.266174662</v>
      </c>
      <c r="E5" s="22" t="n">
        <f aca="false">SUMIFS(Projects!$L$2:$L$36,Projects!$B$2:$B$36,"OTH")</f>
        <v>155575.013776138</v>
      </c>
      <c r="F5" s="22" t="n">
        <f aca="false">SUMIFS(Projects!$M$2:$M$36,Projects!$B$2:$B$36,"OTH")</f>
        <v>600075.053136531</v>
      </c>
      <c r="G5" s="22" t="n">
        <f aca="false">F5/B5</f>
        <v>5660.01747912216</v>
      </c>
      <c r="H5" s="22" t="n">
        <f aca="false">SUMIFS(Projects!$P$2:$P$36,Projects!$B$2:$B$36,"OTH")</f>
        <v>110916</v>
      </c>
      <c r="I5" s="22" t="n">
        <f aca="false">SUMIFS(Projects!$R$2:$R$36,Projects!$B$2:$B$36,"OTH")</f>
        <v>269525.88</v>
      </c>
    </row>
    <row r="6" customFormat="false" ht="15" hidden="false" customHeight="false" outlineLevel="0" collapsed="false">
      <c r="A6" s="4" t="s">
        <v>176</v>
      </c>
      <c r="B6" s="21" t="n">
        <f aca="false">SUM(B2:B5)</f>
        <v>2091.475</v>
      </c>
      <c r="C6" s="21" t="n">
        <f aca="false">SUM(C2:C5)</f>
        <v>4382421.10238101</v>
      </c>
      <c r="D6" s="21" t="n">
        <f aca="false">SUM(D2:D5)</f>
        <v>4070900.66342426</v>
      </c>
      <c r="E6" s="21" t="n">
        <f aca="false">SUM(E2:E5)</f>
        <v>2958662.61803184</v>
      </c>
      <c r="F6" s="21" t="n">
        <f aca="false">SUM(F2:F5)</f>
        <v>11411984.3838371</v>
      </c>
      <c r="G6" s="21" t="n">
        <f aca="false">F6/B6</f>
        <v>5456.42878056736</v>
      </c>
      <c r="H6" s="21" t="n">
        <f aca="false">SUM(H2:H5)</f>
        <v>401727.17</v>
      </c>
      <c r="I6" s="21" t="n">
        <f aca="false">SUM(I2:I5)</f>
        <v>976197.0231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2026-10-08T07:16:00Z</dcterms:created>
  <dc:creator>openpyxl</dc:creator>
  <dc:description/>
  <dc:language>en-US</dc:language>
  <cp:lastModifiedBy/>
  <dcterms:modified xsi:type="dcterms:W3CDTF">2026-10-08T07:16:00Z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