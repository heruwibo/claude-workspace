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8000" activeTab="4"/>
  </bookViews>
  <sheets>
    <sheet name="Portfolio summary" sheetId="1" r:id="rId1"/>
    <sheet name="Projects 40" sheetId="2" r:id="rId2"/>
    <sheet name="Companies" sheetId="3" r:id="rId3"/>
    <sheet name="Partners" sheetId="4" r:id="rId4"/>
    <sheet name="Mileston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<sst xmlns="http://schemas.openxmlformats.org/spreadsheetml/2006/main" count="1424" uniqueCount="575">
  <si>
    <t>DANANTARA | Strategic-project portfolio</t>
  </si>
  <si>
    <t>40 slots retained from the supplied graphic. Only 18 are named. Company assignments are recommendations unless a published platform remit is identified. Estimates are source figures, not approved budgets. As of 1 October 2026.</t>
  </si>
  <si>
    <t>Source cluster</t>
  </si>
  <si>
    <t>Project slots</t>
  </si>
  <si>
    <t>Named</t>
  </si>
  <si>
    <t>Unnamed</t>
  </si>
  <si>
    <t>Named budget (IDR bn)</t>
  </si>
  <si>
    <t>Graphic top-right cluster total (IDR bn)</t>
  </si>
  <si>
    <t>Unallocated within graphic (IDR bn)</t>
  </si>
  <si>
    <t>Lower-left alternative total (IDR bn)</t>
  </si>
  <si>
    <t>Minerals</t>
  </si>
  <si>
    <t>Infrastructure</t>
  </si>
  <si>
    <t>Defense</t>
  </si>
  <si>
    <t>Others</t>
  </si>
  <si>
    <t>Total</t>
  </si>
  <si>
    <t>Budget reconciliation</t>
  </si>
  <si>
    <t>IDR billion</t>
  </si>
  <si>
    <t>Interpretation</t>
  </si>
  <si>
    <t>Source</t>
  </si>
  <si>
    <t>Graphic headline</t>
  </si>
  <si>
    <t>Headline equals lower-left allocation total</t>
  </si>
  <si>
    <t>User supplied: 40 Strategic Projects.jpeg; date / estimate basis not stated</t>
  </si>
  <si>
    <t>Headline less top-right total</t>
  </si>
  <si>
    <t>Unreconciled source difference; do not allocate to unnamed projects</t>
  </si>
  <si>
    <t>Headline less named projects</t>
  </si>
  <si>
    <t>Unallocated / unverified scope; not an estimate for 22 missing projects</t>
  </si>
  <si>
    <t>Planning assumption</t>
  </si>
  <si>
    <t>Editable input</t>
  </si>
  <si>
    <t>Basis</t>
  </si>
  <si>
    <t>Illustrative allowance on known source amounts</t>
  </si>
  <si>
    <t>Used in Projects 40 column M only; not approved contingency, inflation, P90 or an AACE accuracy range</t>
  </si>
  <si>
    <t>Analyst scenario assumption; replace with quantified project risk</t>
  </si>
  <si>
    <t>Known project planning amount (IDR billion)</t>
  </si>
  <si>
    <t>Excludes 22 unnamed slots; not a full portfolio budget</t>
  </si>
  <si>
    <t>Calculated from source base + allowance</t>
  </si>
  <si>
    <t>Ownership</t>
  </si>
  <si>
    <t>Use Companies tier filter. The 52 companies are the statutory transfer roster, not all directly owned by BPI. Several are operating subsidiaries with direct transferred share exposure. Obtain updated DAM registry and subsequent transfer instruments.</t>
  </si>
  <si>
    <t>Project ownership</t>
  </si>
  <si>
    <t>Named operator capability does not prove project appointment. Denera is a published DIM waste platform, but exact three infographic waste-project assignments remain unverified.</t>
  </si>
  <si>
    <t>Budget scope</t>
  </si>
  <si>
    <t>Graphic top-right and lower-left allocations conflict. Named budgets are transcribed in IDR million and converted by /1,000 to IDR billion. Date, cost boundary, capacity and estimate maturity are not provided.</t>
  </si>
  <si>
    <t>PLTS 100 GW</t>
  </si>
  <si>
    <t>Source budget implies IDR 2.314 million per kW if entire 100 GW scope is covered. Verify units, capacity basis, grid / storage exclusions and whether amount covers a phase before using for FID.</t>
  </si>
  <si>
    <t>Unresolved labels</t>
  </si>
  <si>
    <t>Atoma (LTi), CDME and CPE are retained verbatim. Conditional industry interpretations must be confirmed from official project briefs. No partner is selected for Atoma or the multi-metal umbrella.</t>
  </si>
  <si>
    <t>Execution governance</t>
  </si>
  <si>
    <t>Strategic office defines cluster roadmap / resolves cross-SOE interfaces; DAM oversees operating performance and asset stewardship; DIM leads investment structuring and co-investment. Company boards retain project accountability and FID authorities.</t>
  </si>
  <si>
    <t>Next data request</t>
  </si>
  <si>
    <t>Obtain official 40-project register, project charters, appointed sponsors, capacity / location, current gate, approved cost baseline and cash flow, permits, committed financing, partner contracts and schedules.</t>
  </si>
  <si>
    <t>Sources / refresh</t>
  </si>
  <si>
    <t>User graphic and Strategi D.docx guide scope. PP15/2025 establishes transfer baseline; official Danantara and partner pages support platform/capability mapping. Analyst fields should be validated by Danantara before investment decisions.</t>
  </si>
  <si>
    <t>DANANTARA | 40 strategic-project register</t>
  </si>
  <si>
    <t>Source-led register as of 1 October 2026. SP IDs are workbook IDs. 18 named projects; 22 unnamed slots. Responsibilities, horizons, technologies and milestones are recommendations unless explicitly stated.</t>
  </si>
  <si>
    <t>Workbook ID</t>
  </si>
  <si>
    <t>Project name</t>
  </si>
  <si>
    <t>Identification status</t>
  </si>
  <si>
    <t>Business cluster</t>
  </si>
  <si>
    <t>Proposed accountable group</t>
  </si>
  <si>
    <t>Existing operator / candidate</t>
  </si>
  <si>
    <t>Assignment evidence</t>
  </si>
  <si>
    <t>Current milestone</t>
  </si>
  <si>
    <t>Proposed horizon</t>
  </si>
  <si>
    <t>Graphic budget (IDR million)</t>
  </si>
  <si>
    <t>Converted estimate (IDR billion)</t>
  </si>
  <si>
    <t>Planning amount incl. allowance (IDR billion)</t>
  </si>
  <si>
    <t>Technology required / scope condition</t>
  </si>
  <si>
    <t>Potential global partner</t>
  </si>
  <si>
    <t>Principal execution / financing risk</t>
  </si>
  <si>
    <t>Project-specific milestone sequence</t>
  </si>
  <si>
    <t>Budget / identity source</t>
  </si>
  <si>
    <t>Mapping evidence / source</t>
  </si>
  <si>
    <t>SP-01</t>
  </si>
  <si>
    <t>Silica</t>
  </si>
  <si>
    <t>Named in supplied graphic</t>
  </si>
  <si>
    <t>Industrial minerals</t>
  </si>
  <si>
    <t>MIND ID</t>
  </si>
  <si>
    <t>MIND ID-led SPV; operator to be selected</t>
  </si>
  <si>
    <t>Analyst-proposed responsibility; appointment unverified</t>
  </si>
  <si>
    <t>Current gate unverified</t>
  </si>
  <si>
    <t>Beneficiation; impurity removal; product qualification. Silicon/polysilicon is a separate scope decision.</t>
  </si>
  <si>
    <t>Sibelco</t>
  </si>
  <si>
    <t>Ore variability; unclear silica versus silicon scope</t>
  </si>
  <si>
    <t>Resource sampling → pilot purification → customer grade approval</t>
  </si>
  <si>
    <t>https://www.danantaraindonesia.co.id/dam/portfolio</t>
  </si>
  <si>
    <t>SP-02</t>
  </si>
  <si>
    <t>Copper</t>
  </si>
  <si>
    <t>Copper / metal fabrication</t>
  </si>
  <si>
    <t>PT Freeport Indonesia; downstream SPV candidate</t>
  </si>
  <si>
    <t>Smelting/refining or downstream copper rod/foil; scope must be fixed before FEED.</t>
  </si>
  <si>
    <t>Aurubis</t>
  </si>
  <si>
    <t>Scope and capacity absent; concentrate balance; product demand</t>
  </si>
  <si>
    <t>Capacity / feedstock definition → process selection → product qualification</t>
  </si>
  <si>
    <t>SP-03</t>
  </si>
  <si>
    <t>Project Atoma (LTi)</t>
  </si>
  <si>
    <t>Unresolved mineral scope</t>
  </si>
  <si>
    <t>MIND ID — conditional</t>
  </si>
  <si>
    <t>No confirmed operator; minerals SPV candidate</t>
  </si>
  <si>
    <t>LTi is unexpanded in source. IF lithium: resource assessment, extraction pilot and lithium purification.</t>
  </si>
  <si>
    <t>Not shortlisted pending scope</t>
  </si>
  <si>
    <t>Acronym, resource and economics unconfirmed</t>
  </si>
  <si>
    <t>Confirm official project brief → resource test → route-selection pilot</t>
  </si>
  <si>
    <t>SP-04</t>
  </si>
  <si>
    <t>Project Tarsius Phase 1 (LTJ)</t>
  </si>
  <si>
    <t>Rare earths — proposed interpretation</t>
  </si>
  <si>
    <t>PT Timah candidate; MIND ID-led SPV</t>
  </si>
  <si>
    <t>Beneficiation, cracking/leaching, separation and purification; radiological residue management if required.</t>
  </si>
  <si>
    <t>Lynas Rare Earths</t>
  </si>
  <si>
    <t>Recovery economics; residue management; customer qualification</t>
  </si>
  <si>
    <t>Mineralogy / residue characterization → separation pilot → qualified oxide</t>
  </si>
  <si>
    <t>SP-05</t>
  </si>
  <si>
    <t>Al, Fe, Ni, Mn (Auto, Aerospace, Defense)</t>
  </si>
  <si>
    <t>Advanced metals / alloys</t>
  </si>
  <si>
    <t>MIND ID + Krakatau Steel</t>
  </si>
  <si>
    <t>Inalum / Antam / Krakatau Steel; multiple SPVs</t>
  </si>
  <si>
    <t>Aluminium refining/smelting; specialty steel/alloys; nickel/manganese processing; testing and certification.</t>
  </si>
  <si>
    <t>Rio Tinto (aluminium); POSCO (steel) — package-specific</t>
  </si>
  <si>
    <t>Umbrella allocation unknown; power intensity; certification</t>
  </si>
  <si>
    <t>Separate investment packages → feedstock / power contracts → customer certification</t>
  </si>
  <si>
    <t>SP-06</t>
  </si>
  <si>
    <t>Renewable power</t>
  </si>
  <si>
    <t>PLN</t>
  </si>
  <si>
    <t>PLN Nusantara Power; PLN-led project SPVs</t>
  </si>
  <si>
    <t>PV, inverters, grid interconnection; storage and network upgrades where needed.</t>
  </si>
  <si>
    <t>Masdar</t>
  </si>
  <si>
    <t>Grid hosting capacity; tariff; local content; budget scope</t>
  </si>
  <si>
    <t>Tranche grid studies → PPA / land → FID → energization → performance acceptance</t>
  </si>
  <si>
    <t>SP-07</t>
  </si>
  <si>
    <t>Refinery</t>
  </si>
  <si>
    <t>Oil refining</t>
  </si>
  <si>
    <t>Pertamina</t>
  </si>
  <si>
    <t>PT Kilang Pertamina Internasional</t>
  </si>
  <si>
    <t>Process units, upgrading, hydrogen, utilities, process safety and digital control; configuration TBD.</t>
  </si>
  <si>
    <t>Aramco — configuration / commercial fit to be tested</t>
  </si>
  <si>
    <t>Crude slate; margin exposure; scope / location absent</t>
  </si>
  <si>
    <t>Configuration / crude study → FEED / HAZOP → financial close → performance test</t>
  </si>
  <si>
    <t>SP-08</t>
  </si>
  <si>
    <t>Decentralized Waste Management</t>
  </si>
  <si>
    <t>Circular economy / waste</t>
  </si>
  <si>
    <t>DIM / Denera</t>
  </si>
  <si>
    <t>PT Daya Energi Bersih Nusantara (Denera)</t>
  </si>
  <si>
    <t>Published platform remit; exact project assignment unverified</t>
  </si>
  <si>
    <t>Segregation, materials recovery, composting/AD or thermal conversion selected after waste characterization.</t>
  </si>
  <si>
    <t>Veolia</t>
  </si>
  <si>
    <t>Municipal payment; feedstock quality; collection coverage</t>
  </si>
  <si>
    <t>Waste audit → service / feedstock contract → pilot → service-level acceptance</t>
  </si>
  <si>
    <t>https://www.danantaraindonesia.co.id/media-center/press-releases/dim-cloa-batch-ii-wte-partners</t>
  </si>
  <si>
    <t>SP-09</t>
  </si>
  <si>
    <t>Legacy Waste Processing – Landfill Mining</t>
  </si>
  <si>
    <t>Circular economy / remediation</t>
  </si>
  <si>
    <t>Denera-led SPV; local-government site owner</t>
  </si>
  <si>
    <t>Waste excavation, screening, material recovery; leachate, gas and residue management.</t>
  </si>
  <si>
    <t>Veolia — conditional remediation scope</t>
  </si>
  <si>
    <t>Geotechnical / contamination uncertainty; recovered material market</t>
  </si>
  <si>
    <t>Site risk survey → trial excavation → approved remediation plan → recovery acceptance</t>
  </si>
  <si>
    <t>SP-10</t>
  </si>
  <si>
    <t>Legacy Waste Processing – RDF</t>
  </si>
  <si>
    <t>Circular economy / alternative fuel</t>
  </si>
  <si>
    <t>Denera-led SPV; Semen Indonesia as potential offtaker</t>
  </si>
  <si>
    <t>Sorting, drying, shredding, blending; fuel quality and cement-kiln acceptance.</t>
  </si>
  <si>
    <t>Calorific / chlorine variability; logistics; offtake</t>
  </si>
  <si>
    <t>Waste characterization → RDF trial → kiln acceptance → offtake → commercial ramp</t>
  </si>
  <si>
    <t>SP-11</t>
  </si>
  <si>
    <t>Unspecified Infrastructure project 6</t>
  </si>
  <si>
    <t>Unnamed slot in supplied graphic</t>
  </si>
  <si>
    <t>Unresolved</t>
  </si>
  <si>
    <t>Unassigned</t>
  </si>
  <si>
    <t>No project scope available</t>
  </si>
  <si>
    <t>Unknown</t>
  </si>
  <si>
    <t>Not estimable</t>
  </si>
  <si>
    <t>Scope required</t>
  </si>
  <si>
    <t>Not shortlisted</t>
  </si>
  <si>
    <t>Name / sponsor / capacity / location / budget absent</t>
  </si>
  <si>
    <t>Obtain official project brief</t>
  </si>
  <si>
    <t/>
  </si>
  <si>
    <t>SP-12</t>
  </si>
  <si>
    <t>Unspecified Infrastructure project 7</t>
  </si>
  <si>
    <t>SP-13</t>
  </si>
  <si>
    <t>Unspecified Infrastructure project 8</t>
  </si>
  <si>
    <t>SP-14</t>
  </si>
  <si>
    <t>Unspecified Infrastructure project 9</t>
  </si>
  <si>
    <t>SP-15</t>
  </si>
  <si>
    <t>Unspecified Infrastructure project 10</t>
  </si>
  <si>
    <t>SP-16</t>
  </si>
  <si>
    <t>Unspecified Infrastructure project 11</t>
  </si>
  <si>
    <t>SP-17</t>
  </si>
  <si>
    <t>Unspecified Infrastructure project 12</t>
  </si>
  <si>
    <t>SP-18</t>
  </si>
  <si>
    <t>Unspecified Infrastructure project 13</t>
  </si>
  <si>
    <t>SP-19</t>
  </si>
  <si>
    <t>Unspecified Infrastructure project 14</t>
  </si>
  <si>
    <t>SP-20</t>
  </si>
  <si>
    <t>Alutsista</t>
  </si>
  <si>
    <t>Defense manufacturing</t>
  </si>
  <si>
    <t>Len Industri / DEFEND ID</t>
  </si>
  <si>
    <t>Pindad / PT Dirgantara Indonesia / Dahana / PAL by work package</t>
  </si>
  <si>
    <t>Systems engineering, precision manufacturing, quality assurance, testing, sustainment capability.</t>
  </si>
  <si>
    <t>Thales</t>
  </si>
  <si>
    <t>Procurement visibility; sovereign IP; export controls; sustainment</t>
  </si>
  <si>
    <t>User requirements → design reviews → first article → acceptance → production readiness</t>
  </si>
  <si>
    <t>SP-21</t>
  </si>
  <si>
    <t>Industri Galangan dan Komponen Kapal</t>
  </si>
  <si>
    <t>Shipbuilding / marine supply chain</t>
  </si>
  <si>
    <t>PT PAL; DKB / DPS / IKI for commercial packages</t>
  </si>
  <si>
    <t>Ship design, modular construction, welding qualification, propulsion integration, class certification.</t>
  </si>
  <si>
    <t>Naval Group</t>
  </si>
  <si>
    <t>Orderbook; transfer of skills/IP; supplier quality; yard capacity</t>
  </si>
  <si>
    <t>Design / class approval → supplier qualification → construction → sea trials → delivery</t>
  </si>
  <si>
    <t>SP-22</t>
  </si>
  <si>
    <t>Drone</t>
  </si>
  <si>
    <t>Aerospace manufacturing</t>
  </si>
  <si>
    <t>PT Dirgantara Indonesia; Len systems integration candidate</t>
  </si>
  <si>
    <t>Airframe manufacturing, flight-control integration, assurance, airworthiness and production quality.</t>
  </si>
  <si>
    <t>Turkish Aerospace</t>
  </si>
  <si>
    <t>Design ownership; airworthiness; export approvals; customer specification</t>
  </si>
  <si>
    <t>Requirements → preliminary / critical design review → prototype → certification → production readiness</t>
  </si>
  <si>
    <t>SP-23</t>
  </si>
  <si>
    <t>CDME</t>
  </si>
  <si>
    <t>Coal chemicals — interpretation unconfirmed</t>
  </si>
  <si>
    <t>PT Bukit Asam; Pertamina distribution / offtake candidate</t>
  </si>
  <si>
    <t>IF coal-to-DME: gasification, syngas treatment, methanol/DME conversion, emissions and water management.</t>
  </si>
  <si>
    <t>CHN Energy — conditional route</t>
  </si>
  <si>
    <t>Acronym unconfirmed; subsidy / oil-price economics; carbon and water</t>
  </si>
  <si>
    <t>Official scope → feedstock tests → product / subsidy case → pilot evidence → FEED</t>
  </si>
  <si>
    <t>SP-24</t>
  </si>
  <si>
    <t>CPE</t>
  </si>
  <si>
    <t>Petrochemicals — unresolved acronym</t>
  </si>
  <si>
    <t>MIND ID / Pertamina — conditional</t>
  </si>
  <si>
    <t>PT Bukit Asam / KPI; lead depends on scope</t>
  </si>
  <si>
    <t>CPE unexpanded. IF coal-to-petrochemicals/ethylene: gasification, methanol-to-olefins, separation/polymer chain.</t>
  </si>
  <si>
    <t>Acronym / capacity unconfirmed; cost competitiveness; emissions</t>
  </si>
  <si>
    <t>Confirm product scope → route comparison → market / water case → FEED → customer qualification</t>
  </si>
  <si>
    <t>SP-25</t>
  </si>
  <si>
    <t>Biodiesel</t>
  </si>
  <si>
    <t>Biofuels / plantation value chain</t>
  </si>
  <si>
    <t>PTPN III / Agrinas Palma + Pertamina</t>
  </si>
  <si>
    <t>PTPN IV / Agrinas Palma feedstock; Pertamina fuel offtake; plant SPV TBD</t>
  </si>
  <si>
    <t>FAME transesterification, pretreatment, glycerol handling, fuel-quality lab; HVO is a separate route.</t>
  </si>
  <si>
    <t>Wilmar</t>
  </si>
  <si>
    <t>Feedstock sustainability; palm / diesel spread; subsidy; FAME versus HVO scope</t>
  </si>
  <si>
    <t>Feedstock / traceability → route decision → FEED → product standard → offtake / ramp</t>
  </si>
  <si>
    <t>SP-26</t>
  </si>
  <si>
    <t>EV Power Pack (Maritim Industry)</t>
  </si>
  <si>
    <t>Marine batteries / electrification</t>
  </si>
  <si>
    <t>Len Industri / PAL + Pertamina — proposed</t>
  </si>
  <si>
    <t>PT PAL system integrator; cell supplier / pack SPV TBD</t>
  </si>
  <si>
    <t>Cell sourcing, pack assembly, BMS, thermal / fire safety, marine type approval and vessel integration.</t>
  </si>
  <si>
    <t>Corvus Energy</t>
  </si>
  <si>
    <t>Safety / class approval; cell dependence; warranty; vessel demand</t>
  </si>
  <si>
    <t>Vessel duty cycle → pack design → safety / type approval → vessel trials → serial readiness</t>
  </si>
  <si>
    <t>SP-27</t>
  </si>
  <si>
    <t>Biosimilar &amp; Pharma Manufacturing</t>
  </si>
  <si>
    <t>Biopharmaceuticals</t>
  </si>
  <si>
    <t>Bio Farma</t>
  </si>
  <si>
    <t>PT Bio Farma; manufacturing SPV if required</t>
  </si>
  <si>
    <t>Cell culture, bioreactors, purification, aseptic fill/finish, GMP labs and comparability validation.</t>
  </si>
  <si>
    <t>Samsung Biologics</t>
  </si>
  <si>
    <t>IP / freedom to operate; clinical comparability; BPOM approval; quality</t>
  </si>
  <si>
    <t>Molecule / IP choice → tech transfer → validated batches → regulatory approval → launch</t>
  </si>
  <si>
    <t>SP-28</t>
  </si>
  <si>
    <t>Unspecified Others project 6</t>
  </si>
  <si>
    <t>SP-29</t>
  </si>
  <si>
    <t>Unspecified Others project 7</t>
  </si>
  <si>
    <t>SP-30</t>
  </si>
  <si>
    <t>Unspecified Others project 8</t>
  </si>
  <si>
    <t>SP-31</t>
  </si>
  <si>
    <t>Unspecified Others project 9</t>
  </si>
  <si>
    <t>SP-32</t>
  </si>
  <si>
    <t>Unspecified Others project 10</t>
  </si>
  <si>
    <t>SP-33</t>
  </si>
  <si>
    <t>Unspecified Others project 11</t>
  </si>
  <si>
    <t>SP-34</t>
  </si>
  <si>
    <t>Unspecified Others project 12</t>
  </si>
  <si>
    <t>SP-35</t>
  </si>
  <si>
    <t>Unspecified Others project 13</t>
  </si>
  <si>
    <t>SP-36</t>
  </si>
  <si>
    <t>Unspecified Others project 14</t>
  </si>
  <si>
    <t>SP-37</t>
  </si>
  <si>
    <t>Unspecified Others project 15</t>
  </si>
  <si>
    <t>SP-38</t>
  </si>
  <si>
    <t>Unspecified Others project 16</t>
  </si>
  <si>
    <t>SP-39</t>
  </si>
  <si>
    <t>Unspecified Others project 17</t>
  </si>
  <si>
    <t>SP-40</t>
  </si>
  <si>
    <t>Unspecified Others project 18</t>
  </si>
  <si>
    <t>DANANTARA | Company roster and business clusters</t>
  </si>
  <si>
    <t>Hierarchy is explicit: BPI organizational arms ≠ DAM portfolio holdings ≠ operating subsidiaries. 52-entry PP15/2025 baseline is not a certified current cap table. Cluster classification is analytical, aligned with published DAM sectors.</t>
  </si>
  <si>
    <t>Company / arm</t>
  </si>
  <si>
    <t>Ownership / organizational tier</t>
  </si>
  <si>
    <t>Holding / parent basis</t>
  </si>
  <si>
    <t>Industry / business cluster</t>
  </si>
  <si>
    <t>Primary business / strategic role</t>
  </si>
  <si>
    <t>Ownership / evidence qualification</t>
  </si>
  <si>
    <t>PT Danantara Asset Management (DAM)</t>
  </si>
  <si>
    <t>BPI organizational arm</t>
  </si>
  <si>
    <t>BPI Danantara</t>
  </si>
  <si>
    <t>Asset-management holding</t>
  </si>
  <si>
    <t>Portfolio operations / asset management</t>
  </si>
  <si>
    <t>Direct organizational tier; legal register / percentages not verified</t>
  </si>
  <si>
    <t>PT Danantara Investment Management (DIM)</t>
  </si>
  <si>
    <t>Investment management</t>
  </si>
  <si>
    <t>Investment structuring / co-investment</t>
  </si>
  <si>
    <t>https://www.danantaraindonesia.co.id/dim</t>
  </si>
  <si>
    <t>Danantara Development Management Fund (DDMF)</t>
  </si>
  <si>
    <t>Development management</t>
  </si>
  <si>
    <t>Development platform</t>
  </si>
  <si>
    <t>Official ecosystem arm; legal entity / ownership confirmation required</t>
  </si>
  <si>
    <t>https://www.danantaraindonesia.co.id/</t>
  </si>
  <si>
    <t>PP15/2025 transfer roster</t>
  </si>
  <si>
    <t>BKI → DAM (statutory baseline)</t>
  </si>
  <si>
    <t>Energy OilGas</t>
  </si>
  <si>
    <t>Integrated oil, gas and energy</t>
  </si>
  <si>
    <t>Series B / C transfer baseline, not proof of sole ownership or October 2026 immediate parent; verify registry</t>
  </si>
  <si>
    <t>https://peraturan.bpk.go.id/Details/316689/pp-no-15-tahun-2025</t>
  </si>
  <si>
    <t>Electricity generation, grids and distribution</t>
  </si>
  <si>
    <t>CoalandMinerals</t>
  </si>
  <si>
    <t>Mining and mineral holding</t>
  </si>
  <si>
    <t>Bank Rakyat Indonesia (BRI)</t>
  </si>
  <si>
    <t>FinancialServices</t>
  </si>
  <si>
    <t>Banking</t>
  </si>
  <si>
    <t>Bank Negara Indonesia (BNI)</t>
  </si>
  <si>
    <t>Bank Mandiri</t>
  </si>
  <si>
    <t>Bank Tabungan Negara (BTN)</t>
  </si>
  <si>
    <t>Housing / retail banking</t>
  </si>
  <si>
    <t>Telkom Indonesia</t>
  </si>
  <si>
    <t>TelecommunicationMedia</t>
  </si>
  <si>
    <t>Telecommunications</t>
  </si>
  <si>
    <t>Aviasi Pariwisata Indonesia (InJourney)</t>
  </si>
  <si>
    <t>TourismSupporting</t>
  </si>
  <si>
    <t>Aviation and tourism holding</t>
  </si>
  <si>
    <t>Perkebunan Nusantara III</t>
  </si>
  <si>
    <t>Plantation</t>
  </si>
  <si>
    <t>Plantation holding</t>
  </si>
  <si>
    <t>Kereta Api Indonesia</t>
  </si>
  <si>
    <t>Logistic</t>
  </si>
  <si>
    <t>Railway operation</t>
  </si>
  <si>
    <t>Industri Kereta Api (INKA)</t>
  </si>
  <si>
    <t>Manufacture</t>
  </si>
  <si>
    <t>Rail rolling stock</t>
  </si>
  <si>
    <t>Pos Indonesia</t>
  </si>
  <si>
    <t>Postal and logistics</t>
  </si>
  <si>
    <t>Garuda Indonesia</t>
  </si>
  <si>
    <t>Airline</t>
  </si>
  <si>
    <t>Pelabuhan Indonesia (Pelindo)</t>
  </si>
  <si>
    <t>Ports</t>
  </si>
  <si>
    <t>ASDP Indonesia Ferry</t>
  </si>
  <si>
    <t>Ferry services</t>
  </si>
  <si>
    <t>Pelayaran Nasional Indonesia (PELNI)</t>
  </si>
  <si>
    <t>Shipping</t>
  </si>
  <si>
    <t>Danareksa</t>
  </si>
  <si>
    <t>SpecialPurposeCompanies</t>
  </si>
  <si>
    <t>Diversified transformation holding</t>
  </si>
  <si>
    <t>Healthcare</t>
  </si>
  <si>
    <t>Pharmaceutical holding / vaccines</t>
  </si>
  <si>
    <t>Jasa Marga</t>
  </si>
  <si>
    <t>Toll-road operation</t>
  </si>
  <si>
    <t>Semen Indonesia</t>
  </si>
  <si>
    <t>Cement / building materials</t>
  </si>
  <si>
    <t>Krakatau Steel</t>
  </si>
  <si>
    <t>Steel</t>
  </si>
  <si>
    <t>Len Industri</t>
  </si>
  <si>
    <t>DEFEND ID parent; defense electronics</t>
  </si>
  <si>
    <t>Varuna Tirta Prakasya</t>
  </si>
  <si>
    <t>Logistics services</t>
  </si>
  <si>
    <t>Hutama Karya</t>
  </si>
  <si>
    <t>Construction and toll roads</t>
  </si>
  <si>
    <t>Waskita Karya</t>
  </si>
  <si>
    <t>Construction</t>
  </si>
  <si>
    <t>Adhi Karya</t>
  </si>
  <si>
    <t>Wijaya Karya</t>
  </si>
  <si>
    <t>Pembangunan Perumahan (PP)</t>
  </si>
  <si>
    <t>Brantas Abipraya</t>
  </si>
  <si>
    <t>Bahana Pembinaan Usaha Indonesia (IFG)</t>
  </si>
  <si>
    <t>InsurancePensionFund</t>
  </si>
  <si>
    <t>Insurance / financial holding</t>
  </si>
  <si>
    <t>Taspen</t>
  </si>
  <si>
    <t>Civil-service pension and insurance</t>
  </si>
  <si>
    <t>Reasuransi Indonesia Utama (Indonesia Re)</t>
  </si>
  <si>
    <t>Reinsurance</t>
  </si>
  <si>
    <t>ASABRI</t>
  </si>
  <si>
    <t>Social insurance / pensions</t>
  </si>
  <si>
    <t>Pupuk Indonesia</t>
  </si>
  <si>
    <t>FoodFertilizer</t>
  </si>
  <si>
    <t>Fertilizer and chemicals</t>
  </si>
  <si>
    <t>Rajawali Nusantara Indonesia (ID FOOD)</t>
  </si>
  <si>
    <t>Food holding</t>
  </si>
  <si>
    <t>Agrinas Jaladri Nusantara</t>
  </si>
  <si>
    <t>Fisheries; former Virama Karya</t>
  </si>
  <si>
    <t>Agrinas Pangan Nusantara</t>
  </si>
  <si>
    <t>Food / agriculture; former Yodya Karya</t>
  </si>
  <si>
    <t>Agrinas Palma Nusantara</t>
  </si>
  <si>
    <t>Palm value chain; former Indra Karya</t>
  </si>
  <si>
    <t>Amarta Karya</t>
  </si>
  <si>
    <t>Construction / fabrication</t>
  </si>
  <si>
    <t>Boma Bisma Indra</t>
  </si>
  <si>
    <t>Industrial equipment</t>
  </si>
  <si>
    <t>Dok dan Perkapalan Kodja Bahari</t>
  </si>
  <si>
    <t>Shipbuilding / repair</t>
  </si>
  <si>
    <t>Dok dan Perkapalan Surabaya</t>
  </si>
  <si>
    <t>Industri Telekomunikasi Indonesia (INTI)</t>
  </si>
  <si>
    <t>Telecom / electronics manufacturing</t>
  </si>
  <si>
    <t>Pengusahaan Daerah Industri Pulau Batam</t>
  </si>
  <si>
    <t>Industrial estate</t>
  </si>
  <si>
    <t>Primissima</t>
  </si>
  <si>
    <t>Textile</t>
  </si>
  <si>
    <t>Produksi Film Negara</t>
  </si>
  <si>
    <t>Film / media</t>
  </si>
  <si>
    <t>Semen Kupang</t>
  </si>
  <si>
    <t>Cement</t>
  </si>
  <si>
    <t>Industri Kapal Indonesia</t>
  </si>
  <si>
    <t>Rekayasa Industri</t>
  </si>
  <si>
    <t>Industrial EPC; Pupuk group operating control</t>
  </si>
  <si>
    <t>Perkebunan Nusantara I</t>
  </si>
  <si>
    <t>Plantation; PTPN III group operating control</t>
  </si>
  <si>
    <t>Perkebunan Nusantara IV</t>
  </si>
  <si>
    <t>Palm plantation; PTPN III group operating control</t>
  </si>
  <si>
    <t>DIM subsidiary / platform</t>
  </si>
  <si>
    <t>DIM</t>
  </si>
  <si>
    <t>Integrated waste-management investment and delivery</t>
  </si>
  <si>
    <t>Published DIM platform; exact infographic-project appointment unverified</t>
  </si>
  <si>
    <t>PT Danantara Sumberdaya Indonesia (DSI)</t>
  </si>
  <si>
    <t>Ecosystem company — parent unverified</t>
  </si>
  <si>
    <t>Unverified</t>
  </si>
  <si>
    <t>Resources / export platform</t>
  </si>
  <si>
    <t>Strategic export / resources platform</t>
  </si>
  <si>
    <t>Published existence; immediate shareholding tier unverified</t>
  </si>
  <si>
    <t>https://www.danantaraindonesia.co.id/id/media-center/press-releases/dsi-operational-readiness-exports</t>
  </si>
  <si>
    <t>Selected operating subsidiary</t>
  </si>
  <si>
    <t>Refining</t>
  </si>
  <si>
    <t>Project delivery / manufacturing candidate</t>
  </si>
  <si>
    <t>Operating-group mapping; percentages not assessed</t>
  </si>
  <si>
    <t>PT Pertamina Power Indonesia</t>
  </si>
  <si>
    <t>Power / renewable energy</t>
  </si>
  <si>
    <t>PT PLN Nusantara Power</t>
  </si>
  <si>
    <t>Power generation</t>
  </si>
  <si>
    <t>PT Freeport Indonesia</t>
  </si>
  <si>
    <t>Copper mining / processing</t>
  </si>
  <si>
    <t>PT Aneka Tambang (Antam)</t>
  </si>
  <si>
    <t>Minerals / nickel</t>
  </si>
  <si>
    <t>PT Timah</t>
  </si>
  <si>
    <t>Tin / associated minerals</t>
  </si>
  <si>
    <t>PT Indonesia Asahan Aluminium (Inalum)</t>
  </si>
  <si>
    <t>Aluminium</t>
  </si>
  <si>
    <t>PT Bukit Asam</t>
  </si>
  <si>
    <t>Coal</t>
  </si>
  <si>
    <t>PT PAL Indonesia</t>
  </si>
  <si>
    <t>Shipbuilding</t>
  </si>
  <si>
    <t>https://dahana.id/president-launches-defend-ids-logo-and-name/</t>
  </si>
  <si>
    <t>PT Pindad</t>
  </si>
  <si>
    <t>PT Dirgantara Indonesia</t>
  </si>
  <si>
    <t>Aerospace</t>
  </si>
  <si>
    <t>PT Dahana</t>
  </si>
  <si>
    <t>Energetic materials</t>
  </si>
  <si>
    <t>DANANTARA | Potential global industrial partners</t>
  </si>
  <si>
    <t>Analyst shortlist, not procurement advice or confirmed project appointment. Select operator versus OEM versus licensor according to project scope; no single partner assumed for unresolved umbrella projects.</t>
  </si>
  <si>
    <t>Project ID</t>
  </si>
  <si>
    <t>Project</t>
  </si>
  <si>
    <t>Potential partner</t>
  </si>
  <si>
    <t>Partner role</t>
  </si>
  <si>
    <t>Capability / relationship source</t>
  </si>
  <si>
    <t>Relationship status</t>
  </si>
  <si>
    <t>Required diligence</t>
  </si>
  <si>
    <t>Key execution risk</t>
  </si>
  <si>
    <t>Mineral operating partner</t>
  </si>
  <si>
    <t>https://www.sibelco.com/en/materials/silica</t>
  </si>
  <si>
    <t>Capability shortlist only; no Danantara award verified</t>
  </si>
  <si>
    <t>Confirm operating scope, equity appetite, IP/localization, commercial terms, financing and compliance</t>
  </si>
  <si>
    <t>Copper operating / industrial partner</t>
  </si>
  <si>
    <t>https://www.aurubis.com/en/products/</t>
  </si>
  <si>
    <t>Scope clarification required</t>
  </si>
  <si>
    <t>Rare-earth operating partner</t>
  </si>
  <si>
    <t>https://lynasrareearths.com/kuantan-malaysia-2/</t>
  </si>
  <si>
    <t>Industrial operating candidates; no single umbrella operator</t>
  </si>
  <si>
    <t>https://www.riotinto.com/en/products/aluminium | https://posco.com/homepage/docs/eng7/jsp/company/family/foreign_02_02.jsp</t>
  </si>
  <si>
    <t>Developer / asset operating partner</t>
  </si>
  <si>
    <t>https://masdar.ae/en/renewables/our-projects/cirata-floating-photovoltaic-fpv-plant</t>
  </si>
  <si>
    <t>Masdar–PLN Cirata precedent; not an award for 100 GW program</t>
  </si>
  <si>
    <t>Refinery operating / equity partner candidate; licensors selected separately</t>
  </si>
  <si>
    <t>https://www.aramco.com/en/what-we-do/energy-products/refined-products</t>
  </si>
  <si>
    <t>Waste operating partner</t>
  </si>
  <si>
    <t>https://www.veolia.com/en/solutions/producing-and-recovering-energy-solid-recovered-fuels</t>
  </si>
  <si>
    <t>Waste operator; site-specific capability review</t>
  </si>
  <si>
    <t>RDF operating partner</t>
  </si>
  <si>
    <t>https://www.veolia.com/en/our-media/press-releases/solvay-and-veolia-launch-energy-transition-project-dombasle-energie</t>
  </si>
  <si>
    <t>Systems prime / technology and industrial partner</t>
  </si>
  <si>
    <t>https://www.danantaraindonesia.co.id/media-center/press-releases/thales-danantara-strategic-technology</t>
  </si>
  <si>
    <t>Danantara–Thales MoU announced; not a project award</t>
  </si>
  <si>
    <t>Shipbuilding industrial / technology partner</t>
  </si>
  <si>
    <t>https://www.naval-group.com/en/entry-force-scorpener-evolved-submarines-contract-indonesia</t>
  </si>
  <si>
    <t>PAL–Naval Group submarine contract published; infographic linkage unverified</t>
  </si>
  <si>
    <t>Aerospace manufacturer / co-development candidate</t>
  </si>
  <si>
    <t>https://www.tusas.com/en/products/uav</t>
  </si>
  <si>
    <t>Coal-chemical operating candidate; DME-specific proof needed</t>
  </si>
  <si>
    <t>https://www.ceic.com/gjnyjtwwEn/xwzx/202604/a1c1c5911372420f9bf6d4d4a79c2b69.shtml</t>
  </si>
  <si>
    <t>Coal-chemical operating candidate; route diligence required</t>
  </si>
  <si>
    <t>https://www.ceic.com/uploadfiles/shenhua/1463385651776.pdf</t>
  </si>
  <si>
    <t>FAME manufacturing / operating partner</t>
  </si>
  <si>
    <t>https://www.wilmar-international.com/oleochemicals/products/bio-fuels</t>
  </si>
  <si>
    <t>Marine battery OEM / industrial partner; not utility operator</t>
  </si>
  <si>
    <t>https://corvusenergy.com/products</t>
  </si>
  <si>
    <t>Biopharma manufacturing / CDMO partner</t>
  </si>
  <si>
    <t>https://samsungbiologics.com/</t>
  </si>
  <si>
    <t>DANANTARA | Industrial stage-gate framework</t>
  </si>
  <si>
    <t>Proposed framework based on CII front-end planning, AACE estimate maturity and technology-readiness practice. These are required future gates, not verified current achievements. Horizons are indicative; approve project-specific dates after scope and FEED.</t>
  </si>
  <si>
    <t>Gate</t>
  </si>
  <si>
    <t>Industrial milestone</t>
  </si>
  <si>
    <t>Required deliverables</t>
  </si>
  <si>
    <t>Accountable process owner</t>
  </si>
  <si>
    <t>Acceptance / release criteria</t>
  </si>
  <si>
    <t>Indicative horizon</t>
  </si>
  <si>
    <t>Method / source</t>
  </si>
  <si>
    <t>M0</t>
  </si>
  <si>
    <t>Mandate / charter</t>
  </si>
  <si>
    <t>Approved product scope, site candidates, sponsor, SPV and decision rights</t>
  </si>
  <si>
    <t>Strategic office + sponsor</t>
  </si>
  <si>
    <t>Scope completeness; named accountable entity</t>
  </si>
  <si>
    <t>1–3 years</t>
  </si>
  <si>
    <t>Analyst governance framework</t>
  </si>
  <si>
    <t>M1</t>
  </si>
  <si>
    <t>FEL 1 / concept selection</t>
  </si>
  <si>
    <t>Demand / supply, resource data, alternative routes, preliminary economics</t>
  </si>
  <si>
    <t>Operator + strategic office</t>
  </si>
  <si>
    <t>Options screened; downside case; risk register</t>
  </si>
  <si>
    <t>https://www.construction-institute.org/pdri-overview</t>
  </si>
  <si>
    <t>M2</t>
  </si>
  <si>
    <t>FEL 2 / pre-feasibility</t>
  </si>
  <si>
    <t>Pilot results / TRL; site, utilities, feedstock, offtake and environmental baseline</t>
  </si>
  <si>
    <t>Operator + independent technical adviser</t>
  </si>
  <si>
    <t>Technology fit; supply / demand evidence; localization plan</t>
  </si>
  <si>
    <t>M3</t>
  </si>
  <si>
    <t>FEL 3 / FEED and bankability</t>
  </si>
  <si>
    <t>FEED, permits, ESIA, cost estimate, EPC strategy and lender diligence</t>
  </si>
  <si>
    <t>Operator + DIM financing team</t>
  </si>
  <si>
    <t>Independent readiness review; estimate basis; contingency; safety review</t>
  </si>
  <si>
    <t>https://www.construction-institute.org/pdri-overview | https://library.aacei.org/pgd01/pgd01.shtml</t>
  </si>
  <si>
    <t>M4</t>
  </si>
  <si>
    <t>FID / financial close</t>
  </si>
  <si>
    <t>Board approval; committed financing; bankable contracts; insurance and guarantees</t>
  </si>
  <si>
    <t>Company board / investment committee</t>
  </si>
  <si>
    <t>No open critical permits; finance and execution conditions satisfied</t>
  </si>
  <si>
    <t>1–3 or 4–7 years</t>
  </si>
  <si>
    <t>Analyst financing gate; project-specific conditions</t>
  </si>
  <si>
    <t>M5</t>
  </si>
  <si>
    <t>EPC / industrialization</t>
  </si>
  <si>
    <t>Detailed design, long-lead procurement, supplier quality and local capability</t>
  </si>
  <si>
    <t>Operator / EPC; DAM monitors portfolio</t>
  </si>
  <si>
    <t>Schedule / cost control; supplier readiness; change management</t>
  </si>
  <si>
    <t>Analyst execution gate</t>
  </si>
  <si>
    <t>M6</t>
  </si>
  <si>
    <t>Mechanical completion / system readiness</t>
  </si>
  <si>
    <t>Completion dossiers, inspections, safety checks and trained operations team</t>
  </si>
  <si>
    <t>Operator / EPC / independent certifier</t>
  </si>
  <si>
    <t>Accepted completion; punch-list risk; operating procedures</t>
  </si>
  <si>
    <t>4–7 years typical greenfield</t>
  </si>
  <si>
    <t>Analyst commissioning gate</t>
  </si>
  <si>
    <t>M7</t>
  </si>
  <si>
    <t>Commissioning / performance acceptance</t>
  </si>
  <si>
    <t>Performance tests, reliability, environmental compliance and product acceptance</t>
  </si>
  <si>
    <t>Operator + independent certifier</t>
  </si>
  <si>
    <t>Contract guarantees met; no unresolved safety-critical defects</t>
  </si>
  <si>
    <t>Analyst acceptance gate</t>
  </si>
  <si>
    <t>M8</t>
  </si>
  <si>
    <t>Commercial / regulatory release</t>
  </si>
  <si>
    <t>COD / customer qualification, class certification or BPOM approval as relevant</t>
  </si>
  <si>
    <t>Operator + customer / regulator</t>
  </si>
  <si>
    <t>Saleable product; permits; service readiness; warranty handover</t>
  </si>
  <si>
    <t>Analyst industry-specific acceptance</t>
  </si>
  <si>
    <t>M9</t>
  </si>
  <si>
    <t>Ramp-up / benefits realization</t>
  </si>
  <si>
    <t>Stable output, cost, quality, local suppliers, technology transfer and workforce capability</t>
  </si>
  <si>
    <t>Operator; DAM benefit monitoring</t>
  </si>
  <si>
    <t>Actual benefits versus business case; 12-month review; corrective plan</t>
  </si>
  <si>
    <t>4–7 years; &gt;8 years ecosystem</t>
  </si>
  <si>
    <t>Analyst benefits gate</t>
  </si>
  <si>
    <t>Technology / budget rule: assess TRL independently; do not assume source budgets qualify for an AACE class. Re-estimate at each gate and link contingency to quantified risks.</t>
  </si>
  <si>
    <t>NASA TRL reference: https://www.nasa.gov/directorates/somd/space-communications-navigation-program/technology-readiness-levels/ | Defense / aerospace use design reviews and qualification; pharma uses GMP validation and regulatory release. These supplement FEL, not replace 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</si>
</sst>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0.000\);&quot;–&quot;"/>
    <numFmt numFmtId="179" formatCode="#,##0.000"/>
  </numFmts>
  <fonts count="26">
    <font>
      <sz val="11"/>
      <name val="Carlito"/>
      <charset val="134"/>
    </font>
    <font>
      <b/>
      <sz val="18"/>
      <color rgb="FFFFFFFF"/>
      <name val="Arial"/>
      <charset val="134"/>
    </font>
    <font>
      <sz val="11"/>
      <color rgb="FF233D4D"/>
      <name val="Arial"/>
      <charset val="134"/>
    </font>
    <font>
      <b/>
      <sz val="11"/>
      <color rgb="FFFFFFFF"/>
      <name val="Arial"/>
      <charset val="134"/>
    </font>
    <font>
      <sz val="11"/>
      <color rgb="FF007F86"/>
      <name val="Arial"/>
      <charset val="134"/>
    </font>
    <font>
      <b/>
      <sz val="11"/>
      <color rgb="FF233D4D"/>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6324F"/>
        <bgColor indexed="64"/>
      </patternFill>
    </fill>
    <fill>
      <patternFill patternType="solid">
        <fgColor rgb="FF007F86"/>
        <bgColor indexed="64"/>
      </patternFill>
    </fill>
    <fill>
      <patternFill patternType="solid">
        <fgColor rgb="FFDDEEEB"/>
        <bgColor indexed="64"/>
      </patternFill>
    </fill>
    <fill>
      <patternFill patternType="solid">
        <fgColor rgb="FFE1F2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7" borderId="4" applyNumberFormat="0" applyAlignment="0" applyProtection="0">
      <alignment vertical="center"/>
    </xf>
    <xf numFmtId="0" fontId="16" fillId="8" borderId="5" applyNumberFormat="0" applyAlignment="0" applyProtection="0">
      <alignment vertical="center"/>
    </xf>
    <xf numFmtId="0" fontId="17" fillId="8" borderId="4" applyNumberFormat="0" applyAlignment="0" applyProtection="0">
      <alignment vertical="center"/>
    </xf>
    <xf numFmtId="0" fontId="18" fillId="9"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3">
    <xf numFmtId="0" fontId="0" fillId="0" borderId="0" xfId="0"/>
    <xf numFmtId="0" fontId="1" fillId="2" borderId="0" xfId="0" applyNumberFormat="1" applyFont="1" applyFill="1" applyBorder="1" applyAlignment="1">
      <alignment vertical="top" wrapText="1"/>
    </xf>
    <xf numFmtId="0" fontId="2" fillId="0" borderId="0" xfId="0" applyNumberFormat="1" applyFont="1" applyFill="1" applyBorder="1" applyAlignment="1">
      <alignment vertical="top" wrapText="1"/>
    </xf>
    <xf numFmtId="0" fontId="3" fillId="3" borderId="0" xfId="0" applyNumberFormat="1" applyFont="1" applyFill="1" applyBorder="1" applyAlignment="1">
      <alignment vertical="top" wrapText="1"/>
    </xf>
    <xf numFmtId="0" fontId="0" fillId="0" borderId="0" xfId="0" applyNumberFormat="1" applyFont="1" applyFill="1" applyBorder="1" applyAlignment="1">
      <alignment wrapText="1"/>
    </xf>
    <xf numFmtId="178" fontId="4" fillId="0" borderId="0" xfId="0" applyNumberFormat="1" applyFont="1" applyFill="1" applyBorder="1" applyAlignment="1">
      <alignment vertical="top" wrapText="1"/>
    </xf>
    <xf numFmtId="178" fontId="2" fillId="0" borderId="0" xfId="0" applyNumberFormat="1" applyFont="1" applyFill="1" applyBorder="1" applyAlignment="1">
      <alignment vertical="top" wrapText="1"/>
    </xf>
    <xf numFmtId="0" fontId="2" fillId="2" borderId="0" xfId="0" applyNumberFormat="1" applyFont="1" applyFill="1" applyBorder="1" applyAlignment="1">
      <alignment vertical="top" wrapText="1"/>
    </xf>
    <xf numFmtId="179" fontId="2" fillId="0" borderId="0" xfId="0" applyNumberFormat="1" applyFont="1" applyFill="1" applyBorder="1" applyAlignment="1">
      <alignment vertical="top" wrapText="1"/>
    </xf>
    <xf numFmtId="0" fontId="5" fillId="4" borderId="0" xfId="0" applyNumberFormat="1" applyFont="1" applyFill="1" applyBorder="1" applyAlignment="1">
      <alignment vertical="top" wrapText="1"/>
    </xf>
    <xf numFmtId="179" fontId="5" fillId="4" borderId="0" xfId="0" applyNumberFormat="1" applyFont="1" applyFill="1" applyBorder="1" applyAlignment="1">
      <alignment vertical="top" wrapText="1"/>
    </xf>
    <xf numFmtId="9" fontId="2" fillId="5" borderId="0" xfId="0" applyNumberFormat="1" applyFont="1" applyFill="1" applyBorder="1" applyAlignment="1">
      <alignment vertical="top" wrapText="1"/>
    </xf>
    <xf numFmtId="0" fontId="5" fillId="0" borderId="0"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ont>
        <color rgb="FF9A6700"/>
      </font>
      <fill>
        <patternFill patternType="solid">
          <bgColor rgb="FFFFF1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Projects40Table" displayName="Projects40Table" ref="A5:S45" totalsRowShown="0">
  <tableColumns count="19">
    <tableColumn id="1" name="Workbook ID"/>
    <tableColumn id="2" name="Source cluster"/>
    <tableColumn id="3" name="Project name"/>
    <tableColumn id="4" name="Identification status"/>
    <tableColumn id="5" name="Business cluster"/>
    <tableColumn id="6" name="Proposed accountable group"/>
    <tableColumn id="7" name="Existing operator / candidate"/>
    <tableColumn id="8" name="Assignment evidence"/>
    <tableColumn id="9" name="Current milestone"/>
    <tableColumn id="10" name="Proposed horizon"/>
    <tableColumn id="11" name="Graphic budget (IDR million)"/>
    <tableColumn id="12" name="Converted estimate (IDR billion)"/>
    <tableColumn id="13" name="Planning amount incl. allowance (IDR billion)"/>
    <tableColumn id="14" name="Technology required / scope condition"/>
    <tableColumn id="15" name="Potential global partner"/>
    <tableColumn id="16" name="Principal execution / financing risk"/>
    <tableColumn id="17" name="Project-specific milestone sequence"/>
    <tableColumn id="18" name="Budget / identity source"/>
    <tableColumn id="19" name="Mapping evidence / source"/>
  </tableColumns>
  <tableStyleInfo name="TableStyleMedium2" showFirstColumn="0" showLastColumn="0" showRowStripes="1" showColumnStripes="0"/>
</table>
</file>

<file path=xl/tables/table2.xml><?xml version="1.0" encoding="utf-8"?>
<table xmlns="http://schemas.openxmlformats.org/spreadsheetml/2006/main" id="2" name="CompaniesTable" displayName="CompaniesTable" ref="A5:G74" totalsRowShown="0">
  <tableColumns count="7">
    <tableColumn id="1" name="Company / arm"/>
    <tableColumn id="2" name="Ownership / organizational tier"/>
    <tableColumn id="3" name="Holding / parent basis"/>
    <tableColumn id="4" name="Industry / business cluster"/>
    <tableColumn id="5" name="Primary business / strategic role"/>
    <tableColumn id="6" name="Ownership / evidence qualification"/>
    <tableColumn id="7" name="Source"/>
  </tableColumns>
  <tableStyleInfo name="TableStyleMedium2" showFirstColumn="0" showLastColumn="0" showRowStripes="1" showColumnStripes="0"/>
</table>
</file>

<file path=xl/tables/table3.xml><?xml version="1.0" encoding="utf-8"?>
<table xmlns="http://schemas.openxmlformats.org/spreadsheetml/2006/main" id="3" name="PartnersTable" displayName="PartnersTable" ref="A5:H23" totalsRowShown="0">
  <tableColumns count="8">
    <tableColumn id="1" name="Project ID"/>
    <tableColumn id="2" name="Project"/>
    <tableColumn id="3" name="Potential partner"/>
    <tableColumn id="4" name="Partner role"/>
    <tableColumn id="5" name="Capability / relationship source"/>
    <tableColumn id="6" name="Relationship status"/>
    <tableColumn id="7" name="Required diligence"/>
    <tableColumn id="8" name="Key execution risk"/>
  </tableColumns>
  <tableStyleInfo name="TableStyleMedium2" showFirstColumn="0" showLastColumn="0" showRowStripes="1" showColumnStripes="0"/>
</table>
</file>

<file path=xl/tables/table4.xml><?xml version="1.0" encoding="utf-8"?>
<table xmlns="http://schemas.openxmlformats.org/spreadsheetml/2006/main" id="4" name="MilestonesTable" displayName="MilestonesTable" ref="A5:G15" totalsRowShown="0">
  <tableColumns count="7">
    <tableColumn id="1" name="Gate"/>
    <tableColumn id="2" name="Industrial milestone"/>
    <tableColumn id="3" name="Required deliverables"/>
    <tableColumn id="4" name="Accountable process owner"/>
    <tableColumn id="5" name="Acceptance / release criteria"/>
    <tableColumn id="6" name="Indicative horizon"/>
    <tableColumn id="7" name="Method / sour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showGridLines="0" zoomScale="70" zoomScaleNormal="70" workbookViewId="0">
      <pane ySplit="5" topLeftCell="A6" activePane="bottomLeft" state="frozen"/>
      <selection/>
      <selection pane="bottomLeft" activeCell="B23" sqref="B23:H23"/>
    </sheetView>
  </sheetViews>
  <sheetFormatPr defaultColWidth="9" defaultRowHeight="14" outlineLevelCol="7"/>
  <cols>
    <col min="1" max="1" width="35" customWidth="1"/>
    <col min="2" max="2" width="18" customWidth="1"/>
    <col min="3" max="3" width="45" customWidth="1"/>
    <col min="4" max="4" width="40" customWidth="1"/>
    <col min="5" max="5" width="28" customWidth="1"/>
    <col min="6" max="8" width="30" customWidth="1"/>
  </cols>
  <sheetData>
    <row r="1" ht="34" customHeight="1" spans="1:8">
      <c r="A1" s="1" t="s">
        <v>0</v>
      </c>
      <c r="B1" s="7"/>
      <c r="C1" s="7"/>
      <c r="D1" s="7"/>
      <c r="E1" s="7"/>
      <c r="F1" s="7"/>
      <c r="G1" s="7"/>
      <c r="H1" s="7"/>
    </row>
    <row r="2" ht="25" customHeight="1" spans="1:8">
      <c r="A2" s="2" t="s">
        <v>1</v>
      </c>
      <c r="B2" s="2"/>
      <c r="C2" s="2"/>
      <c r="D2" s="2"/>
      <c r="E2" s="2"/>
      <c r="F2" s="2"/>
      <c r="G2" s="2"/>
      <c r="H2" s="2"/>
    </row>
    <row r="3" ht="25" customHeight="1" spans="1:8">
      <c r="A3" s="2"/>
      <c r="B3" s="2"/>
      <c r="C3" s="2"/>
      <c r="D3" s="2"/>
      <c r="E3" s="2"/>
      <c r="F3" s="2"/>
      <c r="G3" s="2"/>
      <c r="H3" s="2"/>
    </row>
    <row r="4" spans="1:8">
      <c r="A4" s="2"/>
      <c r="B4" s="2"/>
      <c r="C4" s="2"/>
      <c r="D4" s="2"/>
      <c r="E4" s="2"/>
      <c r="F4" s="2"/>
      <c r="G4" s="2"/>
      <c r="H4" s="2"/>
    </row>
    <row r="5" ht="50" customHeight="1" spans="1:8">
      <c r="A5" s="3" t="s">
        <v>2</v>
      </c>
      <c r="B5" s="3" t="s">
        <v>3</v>
      </c>
      <c r="C5" s="3" t="s">
        <v>4</v>
      </c>
      <c r="D5" s="3" t="s">
        <v>5</v>
      </c>
      <c r="E5" s="3" t="s">
        <v>6</v>
      </c>
      <c r="F5" s="3" t="s">
        <v>7</v>
      </c>
      <c r="G5" s="3" t="s">
        <v>8</v>
      </c>
      <c r="H5" s="3" t="s">
        <v>9</v>
      </c>
    </row>
    <row r="6" ht="38" customHeight="1" spans="1:8">
      <c r="A6" s="2" t="s">
        <v>10</v>
      </c>
      <c r="B6" s="2">
        <f>COUNTIF('Projects 40'!B6:B45,A6)</f>
        <v>5</v>
      </c>
      <c r="C6" s="2">
        <f>COUNTIFS('Projects 40'!B6:B45,A6,'Projects 40'!D6:D45,"Named in supplied graphic")</f>
        <v>5</v>
      </c>
      <c r="D6" s="2">
        <f>B6-C6</f>
        <v>0</v>
      </c>
      <c r="E6" s="8">
        <f>SUMIF('Projects 40'!B6:B45,A6,'Projects 40'!L6:L45)</f>
        <v>86874.118</v>
      </c>
      <c r="F6" s="8">
        <v>86874.118</v>
      </c>
      <c r="G6" s="8">
        <f>F6-E6</f>
        <v>0</v>
      </c>
      <c r="H6" s="8">
        <v>283850</v>
      </c>
    </row>
    <row r="7" ht="38" customHeight="1" spans="1:8">
      <c r="A7" s="2" t="s">
        <v>11</v>
      </c>
      <c r="B7" s="2">
        <f>COUNTIF('Projects 40'!B6:B45,A7)</f>
        <v>14</v>
      </c>
      <c r="C7" s="2">
        <f>COUNTIFS('Projects 40'!B6:B45,A7,'Projects 40'!D6:D45,"Named in supplied graphic")</f>
        <v>5</v>
      </c>
      <c r="D7" s="2">
        <f>B7-C7</f>
        <v>9</v>
      </c>
      <c r="E7" s="8">
        <f>SUMIF('Projects 40'!B6:B45,A7,'Projects 40'!L6:L45)</f>
        <v>288968</v>
      </c>
      <c r="F7" s="8">
        <v>1217918.836</v>
      </c>
      <c r="G7" s="8">
        <f>F7-E7</f>
        <v>928950.836</v>
      </c>
      <c r="H7" s="8">
        <v>1274570</v>
      </c>
    </row>
    <row r="8" ht="38" customHeight="1" spans="1:8">
      <c r="A8" s="2" t="s">
        <v>12</v>
      </c>
      <c r="B8" s="2">
        <f>COUNTIF('Projects 40'!B6:B45,A8)</f>
        <v>3</v>
      </c>
      <c r="C8" s="2">
        <f>COUNTIFS('Projects 40'!B6:B45,A8,'Projects 40'!D6:D45,"Named in supplied graphic")</f>
        <v>3</v>
      </c>
      <c r="D8" s="2">
        <f>B8-C8</f>
        <v>0</v>
      </c>
      <c r="E8" s="8">
        <f>SUMIF('Projects 40'!B6:B45,A8,'Projects 40'!L6:L45)</f>
        <v>24360</v>
      </c>
      <c r="F8" s="8">
        <v>24360</v>
      </c>
      <c r="G8" s="8">
        <f>F8-E8</f>
        <v>0</v>
      </c>
      <c r="H8" s="8">
        <v>81100</v>
      </c>
    </row>
    <row r="9" ht="38" customHeight="1" spans="1:8">
      <c r="A9" s="2" t="s">
        <v>13</v>
      </c>
      <c r="B9" s="2">
        <f>COUNTIF('Projects 40'!B6:B45,A9)</f>
        <v>18</v>
      </c>
      <c r="C9" s="2">
        <f>COUNTIFS('Projects 40'!B6:B45,A9,'Projects 40'!D6:D45,"Named in supplied graphic")</f>
        <v>5</v>
      </c>
      <c r="D9" s="2">
        <f>B9-C9</f>
        <v>13</v>
      </c>
      <c r="E9" s="8">
        <f>SUMIF('Projects 40'!B6:B45,A9,'Projects 40'!L6:L45)</f>
        <v>204768.235</v>
      </c>
      <c r="F9" s="8">
        <v>743381.435</v>
      </c>
      <c r="G9" s="8">
        <f>F9-E9</f>
        <v>538613.2</v>
      </c>
      <c r="H9" s="8">
        <v>451940</v>
      </c>
    </row>
    <row r="10" ht="38" customHeight="1" spans="1:8">
      <c r="A10" s="9" t="s">
        <v>14</v>
      </c>
      <c r="B10" s="9">
        <f t="shared" ref="B10:H10" si="0">SUM(B6:B9)</f>
        <v>40</v>
      </c>
      <c r="C10" s="9">
        <f t="shared" si="0"/>
        <v>18</v>
      </c>
      <c r="D10" s="9">
        <f t="shared" si="0"/>
        <v>22</v>
      </c>
      <c r="E10" s="10">
        <f t="shared" si="0"/>
        <v>604970.353</v>
      </c>
      <c r="F10" s="10">
        <f t="shared" si="0"/>
        <v>2072534.389</v>
      </c>
      <c r="G10" s="10">
        <f t="shared" si="0"/>
        <v>1467564.036</v>
      </c>
      <c r="H10" s="10">
        <f t="shared" si="0"/>
        <v>2091460</v>
      </c>
    </row>
    <row r="11" spans="1:8">
      <c r="A11" s="2"/>
      <c r="B11" s="2"/>
      <c r="C11" s="2"/>
      <c r="D11" s="2"/>
      <c r="E11" s="2"/>
      <c r="F11" s="2"/>
      <c r="G11" s="2"/>
      <c r="H11" s="2"/>
    </row>
    <row r="12" ht="50" customHeight="1" spans="1:8">
      <c r="A12" s="3" t="s">
        <v>15</v>
      </c>
      <c r="B12" s="3" t="s">
        <v>16</v>
      </c>
      <c r="C12" s="3" t="s">
        <v>17</v>
      </c>
      <c r="D12" s="3" t="s">
        <v>18</v>
      </c>
      <c r="E12" s="3"/>
      <c r="F12" s="3"/>
      <c r="G12" s="3"/>
      <c r="H12" s="3"/>
    </row>
    <row r="13" ht="62" customHeight="1" spans="1:8">
      <c r="A13" s="2" t="s">
        <v>19</v>
      </c>
      <c r="B13" s="8">
        <v>2091460</v>
      </c>
      <c r="C13" s="2" t="s">
        <v>20</v>
      </c>
      <c r="D13" s="2" t="s">
        <v>21</v>
      </c>
      <c r="E13" s="2"/>
      <c r="F13" s="2"/>
      <c r="G13" s="2"/>
      <c r="H13" s="2"/>
    </row>
    <row r="14" ht="62" customHeight="1" spans="1:8">
      <c r="A14" s="2" t="s">
        <v>22</v>
      </c>
      <c r="B14" s="8">
        <f>B13-F10</f>
        <v>18925.611</v>
      </c>
      <c r="C14" s="2" t="s">
        <v>23</v>
      </c>
      <c r="D14" s="2" t="s">
        <v>21</v>
      </c>
      <c r="E14" s="2"/>
      <c r="F14" s="2"/>
      <c r="G14" s="2"/>
      <c r="H14" s="2"/>
    </row>
    <row r="15" ht="62" customHeight="1" spans="1:8">
      <c r="A15" s="2" t="s">
        <v>24</v>
      </c>
      <c r="B15" s="8">
        <f>B13-E10</f>
        <v>1486489.647</v>
      </c>
      <c r="C15" s="2" t="s">
        <v>25</v>
      </c>
      <c r="D15" s="2" t="s">
        <v>21</v>
      </c>
      <c r="E15" s="2"/>
      <c r="F15" s="2"/>
      <c r="G15" s="2"/>
      <c r="H15" s="2"/>
    </row>
    <row r="16" ht="62" customHeight="1" spans="1:8">
      <c r="A16" s="2"/>
      <c r="B16" s="2"/>
      <c r="C16" s="2"/>
      <c r="D16" s="2"/>
      <c r="E16" s="2"/>
      <c r="F16" s="2"/>
      <c r="G16" s="2"/>
      <c r="H16" s="2"/>
    </row>
    <row r="17" ht="62" customHeight="1" spans="1:8">
      <c r="A17" s="3" t="s">
        <v>26</v>
      </c>
      <c r="B17" s="3" t="s">
        <v>27</v>
      </c>
      <c r="C17" s="3" t="s">
        <v>17</v>
      </c>
      <c r="D17" s="3" t="s">
        <v>28</v>
      </c>
      <c r="E17" s="3"/>
      <c r="F17" s="3"/>
      <c r="G17" s="3"/>
      <c r="H17" s="3"/>
    </row>
    <row r="18" ht="62" customHeight="1" spans="1:8">
      <c r="A18" s="2" t="s">
        <v>29</v>
      </c>
      <c r="B18" s="11">
        <v>0.15</v>
      </c>
      <c r="C18" s="2" t="s">
        <v>30</v>
      </c>
      <c r="D18" s="2" t="s">
        <v>31</v>
      </c>
      <c r="E18" s="2"/>
      <c r="F18" s="2"/>
      <c r="G18" s="2"/>
      <c r="H18" s="2"/>
    </row>
    <row r="19" ht="62" customHeight="1" spans="1:8">
      <c r="A19" s="2" t="s">
        <v>32</v>
      </c>
      <c r="B19" s="8">
        <f>SUM('Projects 40'!M6:M45)</f>
        <v>695715.90595</v>
      </c>
      <c r="C19" s="2" t="s">
        <v>33</v>
      </c>
      <c r="D19" s="2" t="s">
        <v>34</v>
      </c>
      <c r="E19" s="2"/>
      <c r="F19" s="2"/>
      <c r="G19" s="2"/>
      <c r="H19" s="2"/>
    </row>
    <row r="20" spans="1:8">
      <c r="A20" s="2"/>
      <c r="B20" s="2"/>
      <c r="C20" s="2"/>
      <c r="D20" s="2"/>
      <c r="E20" s="2"/>
      <c r="F20" s="2"/>
      <c r="G20" s="2"/>
      <c r="H20" s="2"/>
    </row>
    <row r="21" spans="1:8">
      <c r="A21" s="2"/>
      <c r="B21" s="2"/>
      <c r="C21" s="2"/>
      <c r="D21" s="2"/>
      <c r="E21" s="2"/>
      <c r="F21" s="2"/>
      <c r="G21" s="2"/>
      <c r="H21" s="2"/>
    </row>
    <row r="22" ht="58" customHeight="1" spans="1:8">
      <c r="A22" s="12" t="s">
        <v>35</v>
      </c>
      <c r="B22" s="2" t="s">
        <v>36</v>
      </c>
      <c r="C22" s="2"/>
      <c r="D22" s="2"/>
      <c r="E22" s="2"/>
      <c r="F22" s="2"/>
      <c r="G22" s="2"/>
      <c r="H22" s="2"/>
    </row>
    <row r="23" ht="58" customHeight="1" spans="1:8">
      <c r="A23" s="12" t="s">
        <v>37</v>
      </c>
      <c r="B23" s="2" t="s">
        <v>38</v>
      </c>
      <c r="C23" s="2"/>
      <c r="D23" s="2"/>
      <c r="E23" s="2"/>
      <c r="F23" s="2"/>
      <c r="G23" s="2"/>
      <c r="H23" s="2"/>
    </row>
    <row r="24" ht="58" customHeight="1" spans="1:8">
      <c r="A24" s="12" t="s">
        <v>39</v>
      </c>
      <c r="B24" s="2" t="s">
        <v>40</v>
      </c>
      <c r="C24" s="2"/>
      <c r="D24" s="2"/>
      <c r="E24" s="2"/>
      <c r="F24" s="2"/>
      <c r="G24" s="2"/>
      <c r="H24" s="2"/>
    </row>
    <row r="25" ht="58" customHeight="1" spans="1:8">
      <c r="A25" s="12" t="s">
        <v>41</v>
      </c>
      <c r="B25" s="2" t="s">
        <v>42</v>
      </c>
      <c r="C25" s="2"/>
      <c r="D25" s="2"/>
      <c r="E25" s="2"/>
      <c r="F25" s="2"/>
      <c r="G25" s="2"/>
      <c r="H25" s="2"/>
    </row>
    <row r="26" ht="58" customHeight="1" spans="1:8">
      <c r="A26" s="12" t="s">
        <v>43</v>
      </c>
      <c r="B26" s="2" t="s">
        <v>44</v>
      </c>
      <c r="C26" s="2"/>
      <c r="D26" s="2"/>
      <c r="E26" s="2"/>
      <c r="F26" s="2"/>
      <c r="G26" s="2"/>
      <c r="H26" s="2"/>
    </row>
    <row r="27" ht="58" customHeight="1" spans="1:8">
      <c r="A27" s="12" t="s">
        <v>45</v>
      </c>
      <c r="B27" s="2" t="s">
        <v>46</v>
      </c>
      <c r="C27" s="2"/>
      <c r="D27" s="2"/>
      <c r="E27" s="2"/>
      <c r="F27" s="2"/>
      <c r="G27" s="2"/>
      <c r="H27" s="2"/>
    </row>
    <row r="28" ht="58" customHeight="1" spans="1:8">
      <c r="A28" s="12" t="s">
        <v>47</v>
      </c>
      <c r="B28" s="2" t="s">
        <v>48</v>
      </c>
      <c r="C28" s="2"/>
      <c r="D28" s="2"/>
      <c r="E28" s="2"/>
      <c r="F28" s="2"/>
      <c r="G28" s="2"/>
      <c r="H28" s="2"/>
    </row>
    <row r="29" ht="58" customHeight="1" spans="1:8">
      <c r="A29" s="12" t="s">
        <v>49</v>
      </c>
      <c r="B29" s="2" t="s">
        <v>50</v>
      </c>
      <c r="C29" s="2"/>
      <c r="D29" s="2"/>
      <c r="E29" s="2"/>
      <c r="F29" s="2"/>
      <c r="G29" s="2"/>
      <c r="H29" s="2"/>
    </row>
  </sheetData>
  <mergeCells count="10">
    <mergeCell ref="A1:H1"/>
    <mergeCell ref="B22:H22"/>
    <mergeCell ref="B23:H23"/>
    <mergeCell ref="B24:H24"/>
    <mergeCell ref="B25:H25"/>
    <mergeCell ref="B26:H26"/>
    <mergeCell ref="B27:H27"/>
    <mergeCell ref="B28:H28"/>
    <mergeCell ref="B29:H29"/>
    <mergeCell ref="A2:H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F86"/>
  </sheetPr>
  <dimension ref="A1:S45"/>
  <sheetViews>
    <sheetView showGridLines="0" workbookViewId="0">
      <pane ySplit="5" topLeftCell="A27" activePane="bottomLeft" state="frozen"/>
      <selection/>
      <selection pane="bottomLeft" activeCell="A1" sqref="A1:S1"/>
    </sheetView>
  </sheetViews>
  <sheetFormatPr defaultColWidth="9" defaultRowHeight="14"/>
  <cols>
    <col min="1" max="1" width="14" customWidth="1"/>
    <col min="2" max="2" width="20" customWidth="1"/>
    <col min="3" max="3" width="36" customWidth="1"/>
    <col min="4" max="5" width="28" customWidth="1"/>
    <col min="6" max="6" width="30" customWidth="1"/>
    <col min="7" max="8" width="44" customWidth="1"/>
    <col min="9" max="9" width="25" customWidth="1"/>
    <col min="10" max="10" width="35" customWidth="1"/>
    <col min="11" max="11" width="24" customWidth="1"/>
    <col min="12" max="12" width="25" customWidth="1"/>
    <col min="13" max="13" width="30" customWidth="1"/>
    <col min="14" max="14" width="65" customWidth="1"/>
    <col min="15" max="15" width="32" customWidth="1"/>
    <col min="16" max="16" width="55" customWidth="1"/>
    <col min="17" max="19" width="65" customWidth="1"/>
  </cols>
  <sheetData>
    <row r="1" ht="34" customHeight="1" spans="1:19">
      <c r="A1" s="1" t="s">
        <v>51</v>
      </c>
      <c r="B1" s="1"/>
      <c r="C1" s="1"/>
      <c r="D1" s="1"/>
      <c r="E1" s="1"/>
      <c r="F1" s="1"/>
      <c r="G1" s="1"/>
      <c r="H1" s="1"/>
      <c r="I1" s="1"/>
      <c r="J1" s="1"/>
      <c r="K1" s="1"/>
      <c r="L1" s="1"/>
      <c r="M1" s="1"/>
      <c r="N1" s="1"/>
      <c r="O1" s="1"/>
      <c r="P1" s="1"/>
      <c r="Q1" s="1"/>
      <c r="R1" s="1"/>
      <c r="S1" s="1"/>
    </row>
    <row r="2" ht="24" customHeight="1" spans="1:19">
      <c r="A2" s="2" t="s">
        <v>52</v>
      </c>
      <c r="B2" s="2"/>
      <c r="C2" s="2"/>
      <c r="D2" s="2"/>
      <c r="E2" s="2"/>
      <c r="F2" s="2"/>
      <c r="G2" s="2"/>
      <c r="H2" s="2"/>
      <c r="I2" s="2"/>
      <c r="J2" s="2"/>
      <c r="K2" s="2"/>
      <c r="L2" s="2"/>
      <c r="M2" s="2"/>
      <c r="N2" s="2"/>
      <c r="O2" s="2"/>
      <c r="P2" s="2"/>
      <c r="Q2" s="2"/>
      <c r="R2" s="2"/>
      <c r="S2" s="2"/>
    </row>
    <row r="3" ht="24" customHeight="1" spans="1:19">
      <c r="A3" s="2"/>
      <c r="B3" s="2"/>
      <c r="C3" s="2"/>
      <c r="D3" s="2"/>
      <c r="E3" s="2"/>
      <c r="F3" s="2"/>
      <c r="G3" s="2"/>
      <c r="H3" s="2"/>
      <c r="I3" s="2"/>
      <c r="J3" s="2"/>
      <c r="K3" s="2"/>
      <c r="L3" s="2"/>
      <c r="M3" s="2"/>
      <c r="N3" s="2"/>
      <c r="O3" s="2"/>
      <c r="P3" s="2"/>
      <c r="Q3" s="2"/>
      <c r="R3" s="2"/>
      <c r="S3" s="2"/>
    </row>
    <row r="4" spans="1:19">
      <c r="A4" s="2"/>
      <c r="B4" s="2"/>
      <c r="C4" s="2"/>
      <c r="D4" s="2"/>
      <c r="E4" s="2"/>
      <c r="F4" s="2"/>
      <c r="G4" s="2"/>
      <c r="H4" s="2"/>
      <c r="I4" s="2"/>
      <c r="J4" s="2"/>
      <c r="K4" s="2"/>
      <c r="L4" s="2"/>
      <c r="M4" s="2"/>
      <c r="N4" s="2"/>
      <c r="O4" s="2"/>
      <c r="P4" s="2"/>
      <c r="Q4" s="2"/>
      <c r="R4" s="2"/>
      <c r="S4" s="2"/>
    </row>
    <row r="5" ht="44" customHeight="1" spans="1:19">
      <c r="A5" s="3" t="s">
        <v>53</v>
      </c>
      <c r="B5" s="3" t="s">
        <v>2</v>
      </c>
      <c r="C5" s="3" t="s">
        <v>54</v>
      </c>
      <c r="D5" s="3" t="s">
        <v>55</v>
      </c>
      <c r="E5" s="3" t="s">
        <v>56</v>
      </c>
      <c r="F5" s="3" t="s">
        <v>57</v>
      </c>
      <c r="G5" s="3" t="s">
        <v>58</v>
      </c>
      <c r="H5" s="3" t="s">
        <v>59</v>
      </c>
      <c r="I5" s="3" t="s">
        <v>60</v>
      </c>
      <c r="J5" s="3" t="s">
        <v>61</v>
      </c>
      <c r="K5" s="3" t="s">
        <v>62</v>
      </c>
      <c r="L5" s="3" t="s">
        <v>63</v>
      </c>
      <c r="M5" s="3" t="s">
        <v>64</v>
      </c>
      <c r="N5" s="3" t="s">
        <v>65</v>
      </c>
      <c r="O5" s="3" t="s">
        <v>66</v>
      </c>
      <c r="P5" s="3" t="s">
        <v>67</v>
      </c>
      <c r="Q5" s="3" t="s">
        <v>68</v>
      </c>
      <c r="R5" s="3" t="s">
        <v>69</v>
      </c>
      <c r="S5" s="3" t="s">
        <v>70</v>
      </c>
    </row>
    <row r="6" ht="88" customHeight="1" spans="1:19">
      <c r="A6" s="2" t="s">
        <v>71</v>
      </c>
      <c r="B6" s="2" t="s">
        <v>10</v>
      </c>
      <c r="C6" s="2" t="s">
        <v>72</v>
      </c>
      <c r="D6" s="2" t="s">
        <v>73</v>
      </c>
      <c r="E6" s="2" t="s">
        <v>74</v>
      </c>
      <c r="F6" s="2" t="s">
        <v>75</v>
      </c>
      <c r="G6" s="2" t="s">
        <v>76</v>
      </c>
      <c r="H6" s="2" t="s">
        <v>77</v>
      </c>
      <c r="I6" s="2" t="s">
        <v>78</v>
      </c>
      <c r="J6" s="2"/>
      <c r="K6" s="5">
        <v>8900000</v>
      </c>
      <c r="L6" s="6">
        <f t="shared" ref="L6:L45" si="0">IF(K6="","",K6/1000)</f>
        <v>8900</v>
      </c>
      <c r="M6" s="6">
        <f>IF(L6="","",L6*(1+'Portfolio summary'!B18))</f>
        <v>10235</v>
      </c>
      <c r="N6" s="2" t="s">
        <v>79</v>
      </c>
      <c r="O6" s="2" t="s">
        <v>80</v>
      </c>
      <c r="P6" s="2" t="s">
        <v>81</v>
      </c>
      <c r="Q6" s="2" t="s">
        <v>82</v>
      </c>
      <c r="R6" s="2" t="s">
        <v>21</v>
      </c>
      <c r="S6" s="2" t="s">
        <v>83</v>
      </c>
    </row>
    <row r="7" ht="88" customHeight="1" spans="1:19">
      <c r="A7" s="2" t="s">
        <v>84</v>
      </c>
      <c r="B7" s="2" t="s">
        <v>10</v>
      </c>
      <c r="C7" s="2" t="s">
        <v>85</v>
      </c>
      <c r="D7" s="2" t="s">
        <v>73</v>
      </c>
      <c r="E7" s="2" t="s">
        <v>86</v>
      </c>
      <c r="F7" s="2" t="s">
        <v>75</v>
      </c>
      <c r="G7" s="2" t="s">
        <v>87</v>
      </c>
      <c r="H7" s="2" t="s">
        <v>77</v>
      </c>
      <c r="I7" s="2" t="s">
        <v>78</v>
      </c>
      <c r="J7" s="2"/>
      <c r="K7" s="5">
        <v>2000000</v>
      </c>
      <c r="L7" s="6">
        <f t="shared" si="0"/>
        <v>2000</v>
      </c>
      <c r="M7" s="6">
        <f>IF(L7="","",L7*(1+'Portfolio summary'!B18))</f>
        <v>2300</v>
      </c>
      <c r="N7" s="2" t="s">
        <v>88</v>
      </c>
      <c r="O7" s="2" t="s">
        <v>89</v>
      </c>
      <c r="P7" s="2" t="s">
        <v>90</v>
      </c>
      <c r="Q7" s="2" t="s">
        <v>91</v>
      </c>
      <c r="R7" s="2" t="s">
        <v>21</v>
      </c>
      <c r="S7" s="2" t="s">
        <v>83</v>
      </c>
    </row>
    <row r="8" ht="88" customHeight="1" spans="1:19">
      <c r="A8" s="2" t="s">
        <v>92</v>
      </c>
      <c r="B8" s="2" t="s">
        <v>10</v>
      </c>
      <c r="C8" s="2" t="s">
        <v>93</v>
      </c>
      <c r="D8" s="2" t="s">
        <v>73</v>
      </c>
      <c r="E8" s="2" t="s">
        <v>94</v>
      </c>
      <c r="F8" s="2" t="s">
        <v>95</v>
      </c>
      <c r="G8" s="2" t="s">
        <v>96</v>
      </c>
      <c r="H8" s="2" t="s">
        <v>77</v>
      </c>
      <c r="I8" s="2" t="s">
        <v>78</v>
      </c>
      <c r="J8" s="2"/>
      <c r="K8" s="5">
        <v>380000</v>
      </c>
      <c r="L8" s="6">
        <f t="shared" si="0"/>
        <v>380</v>
      </c>
      <c r="M8" s="6">
        <f>IF(L8="","",L8*(1+'Portfolio summary'!B18))</f>
        <v>437</v>
      </c>
      <c r="N8" s="2" t="s">
        <v>97</v>
      </c>
      <c r="O8" s="2" t="s">
        <v>98</v>
      </c>
      <c r="P8" s="2" t="s">
        <v>99</v>
      </c>
      <c r="Q8" s="2" t="s">
        <v>100</v>
      </c>
      <c r="R8" s="2" t="s">
        <v>21</v>
      </c>
      <c r="S8" s="2" t="s">
        <v>83</v>
      </c>
    </row>
    <row r="9" ht="88" customHeight="1" spans="1:19">
      <c r="A9" s="2" t="s">
        <v>101</v>
      </c>
      <c r="B9" s="2" t="s">
        <v>10</v>
      </c>
      <c r="C9" s="2" t="s">
        <v>102</v>
      </c>
      <c r="D9" s="2" t="s">
        <v>73</v>
      </c>
      <c r="E9" s="2" t="s">
        <v>103</v>
      </c>
      <c r="F9" s="2" t="s">
        <v>75</v>
      </c>
      <c r="G9" s="2" t="s">
        <v>104</v>
      </c>
      <c r="H9" s="2" t="s">
        <v>77</v>
      </c>
      <c r="I9" s="2" t="s">
        <v>78</v>
      </c>
      <c r="J9" s="2"/>
      <c r="K9" s="5">
        <v>2300000</v>
      </c>
      <c r="L9" s="6">
        <f t="shared" si="0"/>
        <v>2300</v>
      </c>
      <c r="M9" s="6">
        <f>IF(L9="","",L9*(1+'Portfolio summary'!B18))</f>
        <v>2645</v>
      </c>
      <c r="N9" s="2" t="s">
        <v>105</v>
      </c>
      <c r="O9" s="2" t="s">
        <v>106</v>
      </c>
      <c r="P9" s="2" t="s">
        <v>107</v>
      </c>
      <c r="Q9" s="2" t="s">
        <v>108</v>
      </c>
      <c r="R9" s="2" t="s">
        <v>21</v>
      </c>
      <c r="S9" s="2" t="s">
        <v>83</v>
      </c>
    </row>
    <row r="10" ht="88" customHeight="1" spans="1:19">
      <c r="A10" s="2" t="s">
        <v>109</v>
      </c>
      <c r="B10" s="2" t="s">
        <v>10</v>
      </c>
      <c r="C10" s="2" t="s">
        <v>110</v>
      </c>
      <c r="D10" s="2" t="s">
        <v>73</v>
      </c>
      <c r="E10" s="2" t="s">
        <v>111</v>
      </c>
      <c r="F10" s="2" t="s">
        <v>112</v>
      </c>
      <c r="G10" s="2" t="s">
        <v>113</v>
      </c>
      <c r="H10" s="2" t="s">
        <v>77</v>
      </c>
      <c r="I10" s="2" t="s">
        <v>78</v>
      </c>
      <c r="J10" s="2"/>
      <c r="K10" s="5">
        <v>73294118</v>
      </c>
      <c r="L10" s="6">
        <f t="shared" si="0"/>
        <v>73294.118</v>
      </c>
      <c r="M10" s="6">
        <f>IF(L10="","",L10*(1+'Portfolio summary'!B18))</f>
        <v>84288.2357</v>
      </c>
      <c r="N10" s="2" t="s">
        <v>114</v>
      </c>
      <c r="O10" s="2" t="s">
        <v>115</v>
      </c>
      <c r="P10" s="2" t="s">
        <v>116</v>
      </c>
      <c r="Q10" s="2" t="s">
        <v>117</v>
      </c>
      <c r="R10" s="2" t="s">
        <v>21</v>
      </c>
      <c r="S10" s="2" t="s">
        <v>83</v>
      </c>
    </row>
    <row r="11" ht="88" customHeight="1" spans="1:19">
      <c r="A11" s="2" t="s">
        <v>118</v>
      </c>
      <c r="B11" s="2" t="s">
        <v>11</v>
      </c>
      <c r="C11" s="2" t="s">
        <v>41</v>
      </c>
      <c r="D11" s="2" t="s">
        <v>73</v>
      </c>
      <c r="E11" s="2" t="s">
        <v>119</v>
      </c>
      <c r="F11" s="2" t="s">
        <v>120</v>
      </c>
      <c r="G11" s="2" t="s">
        <v>121</v>
      </c>
      <c r="H11" s="2" t="s">
        <v>77</v>
      </c>
      <c r="I11" s="2" t="s">
        <v>78</v>
      </c>
      <c r="J11" s="2"/>
      <c r="K11" s="5">
        <v>231400000</v>
      </c>
      <c r="L11" s="6">
        <f t="shared" si="0"/>
        <v>231400</v>
      </c>
      <c r="M11" s="6">
        <f>IF(L11="","",L11*(1+'Portfolio summary'!B18))</f>
        <v>266110</v>
      </c>
      <c r="N11" s="2" t="s">
        <v>122</v>
      </c>
      <c r="O11" s="2" t="s">
        <v>123</v>
      </c>
      <c r="P11" s="2" t="s">
        <v>124</v>
      </c>
      <c r="Q11" s="2" t="s">
        <v>125</v>
      </c>
      <c r="R11" s="2" t="s">
        <v>21</v>
      </c>
      <c r="S11" s="2" t="s">
        <v>83</v>
      </c>
    </row>
    <row r="12" ht="88" customHeight="1" spans="1:19">
      <c r="A12" s="2" t="s">
        <v>126</v>
      </c>
      <c r="B12" s="2" t="s">
        <v>11</v>
      </c>
      <c r="C12" s="2" t="s">
        <v>127</v>
      </c>
      <c r="D12" s="2" t="s">
        <v>73</v>
      </c>
      <c r="E12" s="2" t="s">
        <v>128</v>
      </c>
      <c r="F12" s="2" t="s">
        <v>129</v>
      </c>
      <c r="G12" s="2" t="s">
        <v>130</v>
      </c>
      <c r="H12" s="2" t="s">
        <v>77</v>
      </c>
      <c r="I12" s="2" t="s">
        <v>78</v>
      </c>
      <c r="J12" s="2"/>
      <c r="K12" s="5">
        <v>40940000</v>
      </c>
      <c r="L12" s="6">
        <f t="shared" si="0"/>
        <v>40940</v>
      </c>
      <c r="M12" s="6">
        <f>IF(L12="","",L12*(1+'Portfolio summary'!B18))</f>
        <v>47081</v>
      </c>
      <c r="N12" s="2" t="s">
        <v>131</v>
      </c>
      <c r="O12" s="2" t="s">
        <v>132</v>
      </c>
      <c r="P12" s="2" t="s">
        <v>133</v>
      </c>
      <c r="Q12" s="2" t="s">
        <v>134</v>
      </c>
      <c r="R12" s="2" t="s">
        <v>21</v>
      </c>
      <c r="S12" s="2" t="s">
        <v>83</v>
      </c>
    </row>
    <row r="13" ht="88" customHeight="1" spans="1:19">
      <c r="A13" s="2" t="s">
        <v>135</v>
      </c>
      <c r="B13" s="2" t="s">
        <v>11</v>
      </c>
      <c r="C13" s="2" t="s">
        <v>136</v>
      </c>
      <c r="D13" s="2" t="s">
        <v>73</v>
      </c>
      <c r="E13" s="2" t="s">
        <v>137</v>
      </c>
      <c r="F13" s="2" t="s">
        <v>138</v>
      </c>
      <c r="G13" s="2" t="s">
        <v>139</v>
      </c>
      <c r="H13" s="2" t="s">
        <v>140</v>
      </c>
      <c r="I13" s="2" t="s">
        <v>78</v>
      </c>
      <c r="J13" s="2"/>
      <c r="K13" s="5">
        <v>4628000</v>
      </c>
      <c r="L13" s="6">
        <f t="shared" si="0"/>
        <v>4628</v>
      </c>
      <c r="M13" s="6">
        <f>IF(L13="","",L13*(1+'Portfolio summary'!B18))</f>
        <v>5322.2</v>
      </c>
      <c r="N13" s="2" t="s">
        <v>141</v>
      </c>
      <c r="O13" s="2" t="s">
        <v>142</v>
      </c>
      <c r="P13" s="2" t="s">
        <v>143</v>
      </c>
      <c r="Q13" s="2" t="s">
        <v>144</v>
      </c>
      <c r="R13" s="2" t="s">
        <v>21</v>
      </c>
      <c r="S13" s="2" t="s">
        <v>145</v>
      </c>
    </row>
    <row r="14" ht="88" customHeight="1" spans="1:19">
      <c r="A14" s="2" t="s">
        <v>146</v>
      </c>
      <c r="B14" s="2" t="s">
        <v>11</v>
      </c>
      <c r="C14" s="2" t="s">
        <v>147</v>
      </c>
      <c r="D14" s="2" t="s">
        <v>73</v>
      </c>
      <c r="E14" s="2" t="s">
        <v>148</v>
      </c>
      <c r="F14" s="2" t="s">
        <v>138</v>
      </c>
      <c r="G14" s="2" t="s">
        <v>149</v>
      </c>
      <c r="H14" s="2" t="s">
        <v>140</v>
      </c>
      <c r="I14" s="2" t="s">
        <v>78</v>
      </c>
      <c r="J14" s="2"/>
      <c r="K14" s="5">
        <v>6000000</v>
      </c>
      <c r="L14" s="6">
        <f t="shared" si="0"/>
        <v>6000</v>
      </c>
      <c r="M14" s="6">
        <f>IF(L14="","",L14*(1+'Portfolio summary'!B18))</f>
        <v>6900</v>
      </c>
      <c r="N14" s="2" t="s">
        <v>150</v>
      </c>
      <c r="O14" s="2" t="s">
        <v>151</v>
      </c>
      <c r="P14" s="2" t="s">
        <v>152</v>
      </c>
      <c r="Q14" s="2" t="s">
        <v>153</v>
      </c>
      <c r="R14" s="2" t="s">
        <v>21</v>
      </c>
      <c r="S14" s="2" t="s">
        <v>145</v>
      </c>
    </row>
    <row r="15" ht="88" customHeight="1" spans="1:19">
      <c r="A15" s="2" t="s">
        <v>154</v>
      </c>
      <c r="B15" s="2" t="s">
        <v>11</v>
      </c>
      <c r="C15" s="2" t="s">
        <v>155</v>
      </c>
      <c r="D15" s="2" t="s">
        <v>73</v>
      </c>
      <c r="E15" s="2" t="s">
        <v>156</v>
      </c>
      <c r="F15" s="2" t="s">
        <v>138</v>
      </c>
      <c r="G15" s="2" t="s">
        <v>157</v>
      </c>
      <c r="H15" s="2" t="s">
        <v>140</v>
      </c>
      <c r="I15" s="2" t="s">
        <v>78</v>
      </c>
      <c r="J15" s="2"/>
      <c r="K15" s="5">
        <v>6000000</v>
      </c>
      <c r="L15" s="6">
        <f t="shared" si="0"/>
        <v>6000</v>
      </c>
      <c r="M15" s="6">
        <f>IF(L15="","",L15*(1+'Portfolio summary'!B18))</f>
        <v>6900</v>
      </c>
      <c r="N15" s="2" t="s">
        <v>158</v>
      </c>
      <c r="O15" s="2" t="s">
        <v>142</v>
      </c>
      <c r="P15" s="2" t="s">
        <v>159</v>
      </c>
      <c r="Q15" s="2" t="s">
        <v>160</v>
      </c>
      <c r="R15" s="2" t="s">
        <v>21</v>
      </c>
      <c r="S15" s="2" t="s">
        <v>145</v>
      </c>
    </row>
    <row r="16" ht="88" customHeight="1" spans="1:19">
      <c r="A16" s="2" t="s">
        <v>161</v>
      </c>
      <c r="B16" s="2" t="s">
        <v>11</v>
      </c>
      <c r="C16" s="2" t="s">
        <v>162</v>
      </c>
      <c r="D16" s="2" t="s">
        <v>163</v>
      </c>
      <c r="E16" s="2" t="s">
        <v>164</v>
      </c>
      <c r="F16" s="2" t="s">
        <v>165</v>
      </c>
      <c r="G16" s="2" t="s">
        <v>165</v>
      </c>
      <c r="H16" s="2" t="s">
        <v>166</v>
      </c>
      <c r="I16" s="2" t="s">
        <v>167</v>
      </c>
      <c r="J16" s="2" t="s">
        <v>168</v>
      </c>
      <c r="K16" s="5"/>
      <c r="L16" s="6" t="str">
        <f t="shared" si="0"/>
        <v/>
      </c>
      <c r="M16" s="6" t="str">
        <f>IF(L16="","",L16*(1+'Portfolio summary'!B18))</f>
        <v/>
      </c>
      <c r="N16" s="2" t="s">
        <v>169</v>
      </c>
      <c r="O16" s="2" t="s">
        <v>170</v>
      </c>
      <c r="P16" s="2" t="s">
        <v>171</v>
      </c>
      <c r="Q16" s="2" t="s">
        <v>172</v>
      </c>
      <c r="R16" s="2" t="s">
        <v>21</v>
      </c>
      <c r="S16" s="2" t="s">
        <v>173</v>
      </c>
    </row>
    <row r="17" ht="88" customHeight="1" spans="1:19">
      <c r="A17" s="2" t="s">
        <v>174</v>
      </c>
      <c r="B17" s="2" t="s">
        <v>11</v>
      </c>
      <c r="C17" s="2" t="s">
        <v>175</v>
      </c>
      <c r="D17" s="2" t="s">
        <v>163</v>
      </c>
      <c r="E17" s="2" t="s">
        <v>164</v>
      </c>
      <c r="F17" s="2" t="s">
        <v>165</v>
      </c>
      <c r="G17" s="2" t="s">
        <v>165</v>
      </c>
      <c r="H17" s="2" t="s">
        <v>166</v>
      </c>
      <c r="I17" s="2" t="s">
        <v>167</v>
      </c>
      <c r="J17" s="2" t="s">
        <v>168</v>
      </c>
      <c r="K17" s="5"/>
      <c r="L17" s="6" t="str">
        <f t="shared" si="0"/>
        <v/>
      </c>
      <c r="M17" s="6" t="str">
        <f>IF(L17="","",L17*(1+'Portfolio summary'!B18))</f>
        <v/>
      </c>
      <c r="N17" s="2" t="s">
        <v>169</v>
      </c>
      <c r="O17" s="2" t="s">
        <v>170</v>
      </c>
      <c r="P17" s="2" t="s">
        <v>171</v>
      </c>
      <c r="Q17" s="2" t="s">
        <v>172</v>
      </c>
      <c r="R17" s="2" t="s">
        <v>21</v>
      </c>
      <c r="S17" s="2" t="s">
        <v>173</v>
      </c>
    </row>
    <row r="18" ht="88" customHeight="1" spans="1:19">
      <c r="A18" s="2" t="s">
        <v>176</v>
      </c>
      <c r="B18" s="2" t="s">
        <v>11</v>
      </c>
      <c r="C18" s="2" t="s">
        <v>177</v>
      </c>
      <c r="D18" s="2" t="s">
        <v>163</v>
      </c>
      <c r="E18" s="2" t="s">
        <v>164</v>
      </c>
      <c r="F18" s="2" t="s">
        <v>165</v>
      </c>
      <c r="G18" s="2" t="s">
        <v>165</v>
      </c>
      <c r="H18" s="2" t="s">
        <v>166</v>
      </c>
      <c r="I18" s="2" t="s">
        <v>167</v>
      </c>
      <c r="J18" s="2" t="s">
        <v>168</v>
      </c>
      <c r="K18" s="5"/>
      <c r="L18" s="6" t="str">
        <f t="shared" si="0"/>
        <v/>
      </c>
      <c r="M18" s="6" t="str">
        <f>IF(L18="","",L18*(1+'Portfolio summary'!B18))</f>
        <v/>
      </c>
      <c r="N18" s="2" t="s">
        <v>169</v>
      </c>
      <c r="O18" s="2" t="s">
        <v>170</v>
      </c>
      <c r="P18" s="2" t="s">
        <v>171</v>
      </c>
      <c r="Q18" s="2" t="s">
        <v>172</v>
      </c>
      <c r="R18" s="2" t="s">
        <v>21</v>
      </c>
      <c r="S18" s="2" t="s">
        <v>173</v>
      </c>
    </row>
    <row r="19" ht="88" customHeight="1" spans="1:19">
      <c r="A19" s="2" t="s">
        <v>178</v>
      </c>
      <c r="B19" s="2" t="s">
        <v>11</v>
      </c>
      <c r="C19" s="2" t="s">
        <v>179</v>
      </c>
      <c r="D19" s="2" t="s">
        <v>163</v>
      </c>
      <c r="E19" s="2" t="s">
        <v>164</v>
      </c>
      <c r="F19" s="2" t="s">
        <v>165</v>
      </c>
      <c r="G19" s="2" t="s">
        <v>165</v>
      </c>
      <c r="H19" s="2" t="s">
        <v>166</v>
      </c>
      <c r="I19" s="2" t="s">
        <v>167</v>
      </c>
      <c r="J19" s="2" t="s">
        <v>168</v>
      </c>
      <c r="K19" s="5"/>
      <c r="L19" s="6" t="str">
        <f t="shared" si="0"/>
        <v/>
      </c>
      <c r="M19" s="6" t="str">
        <f>IF(L19="","",L19*(1+'Portfolio summary'!B18))</f>
        <v/>
      </c>
      <c r="N19" s="2" t="s">
        <v>169</v>
      </c>
      <c r="O19" s="2" t="s">
        <v>170</v>
      </c>
      <c r="P19" s="2" t="s">
        <v>171</v>
      </c>
      <c r="Q19" s="2" t="s">
        <v>172</v>
      </c>
      <c r="R19" s="2" t="s">
        <v>21</v>
      </c>
      <c r="S19" s="2" t="s">
        <v>173</v>
      </c>
    </row>
    <row r="20" ht="88" customHeight="1" spans="1:19">
      <c r="A20" s="2" t="s">
        <v>180</v>
      </c>
      <c r="B20" s="2" t="s">
        <v>11</v>
      </c>
      <c r="C20" s="2" t="s">
        <v>181</v>
      </c>
      <c r="D20" s="2" t="s">
        <v>163</v>
      </c>
      <c r="E20" s="2" t="s">
        <v>164</v>
      </c>
      <c r="F20" s="2" t="s">
        <v>165</v>
      </c>
      <c r="G20" s="2" t="s">
        <v>165</v>
      </c>
      <c r="H20" s="2" t="s">
        <v>166</v>
      </c>
      <c r="I20" s="2" t="s">
        <v>167</v>
      </c>
      <c r="J20" s="2" t="s">
        <v>168</v>
      </c>
      <c r="K20" s="5"/>
      <c r="L20" s="6" t="str">
        <f t="shared" si="0"/>
        <v/>
      </c>
      <c r="M20" s="6" t="str">
        <f>IF(L20="","",L20*(1+'Portfolio summary'!B18))</f>
        <v/>
      </c>
      <c r="N20" s="2" t="s">
        <v>169</v>
      </c>
      <c r="O20" s="2" t="s">
        <v>170</v>
      </c>
      <c r="P20" s="2" t="s">
        <v>171</v>
      </c>
      <c r="Q20" s="2" t="s">
        <v>172</v>
      </c>
      <c r="R20" s="2" t="s">
        <v>21</v>
      </c>
      <c r="S20" s="2" t="s">
        <v>173</v>
      </c>
    </row>
    <row r="21" ht="88" customHeight="1" spans="1:19">
      <c r="A21" s="2" t="s">
        <v>182</v>
      </c>
      <c r="B21" s="2" t="s">
        <v>11</v>
      </c>
      <c r="C21" s="2" t="s">
        <v>183</v>
      </c>
      <c r="D21" s="2" t="s">
        <v>163</v>
      </c>
      <c r="E21" s="2" t="s">
        <v>164</v>
      </c>
      <c r="F21" s="2" t="s">
        <v>165</v>
      </c>
      <c r="G21" s="2" t="s">
        <v>165</v>
      </c>
      <c r="H21" s="2" t="s">
        <v>166</v>
      </c>
      <c r="I21" s="2" t="s">
        <v>167</v>
      </c>
      <c r="J21" s="2" t="s">
        <v>168</v>
      </c>
      <c r="K21" s="5"/>
      <c r="L21" s="6" t="str">
        <f t="shared" si="0"/>
        <v/>
      </c>
      <c r="M21" s="6" t="str">
        <f>IF(L21="","",L21*(1+'Portfolio summary'!B18))</f>
        <v/>
      </c>
      <c r="N21" s="2" t="s">
        <v>169</v>
      </c>
      <c r="O21" s="2" t="s">
        <v>170</v>
      </c>
      <c r="P21" s="2" t="s">
        <v>171</v>
      </c>
      <c r="Q21" s="2" t="s">
        <v>172</v>
      </c>
      <c r="R21" s="2" t="s">
        <v>21</v>
      </c>
      <c r="S21" s="2" t="s">
        <v>173</v>
      </c>
    </row>
    <row r="22" ht="88" customHeight="1" spans="1:19">
      <c r="A22" s="2" t="s">
        <v>184</v>
      </c>
      <c r="B22" s="2" t="s">
        <v>11</v>
      </c>
      <c r="C22" s="2" t="s">
        <v>185</v>
      </c>
      <c r="D22" s="2" t="s">
        <v>163</v>
      </c>
      <c r="E22" s="2" t="s">
        <v>164</v>
      </c>
      <c r="F22" s="2" t="s">
        <v>165</v>
      </c>
      <c r="G22" s="2" t="s">
        <v>165</v>
      </c>
      <c r="H22" s="2" t="s">
        <v>166</v>
      </c>
      <c r="I22" s="2" t="s">
        <v>167</v>
      </c>
      <c r="J22" s="2" t="s">
        <v>168</v>
      </c>
      <c r="K22" s="5"/>
      <c r="L22" s="6" t="str">
        <f t="shared" si="0"/>
        <v/>
      </c>
      <c r="M22" s="6" t="str">
        <f>IF(L22="","",L22*(1+'Portfolio summary'!B18))</f>
        <v/>
      </c>
      <c r="N22" s="2" t="s">
        <v>169</v>
      </c>
      <c r="O22" s="2" t="s">
        <v>170</v>
      </c>
      <c r="P22" s="2" t="s">
        <v>171</v>
      </c>
      <c r="Q22" s="2" t="s">
        <v>172</v>
      </c>
      <c r="R22" s="2" t="s">
        <v>21</v>
      </c>
      <c r="S22" s="2" t="s">
        <v>173</v>
      </c>
    </row>
    <row r="23" ht="88" customHeight="1" spans="1:19">
      <c r="A23" s="2" t="s">
        <v>186</v>
      </c>
      <c r="B23" s="2" t="s">
        <v>11</v>
      </c>
      <c r="C23" s="2" t="s">
        <v>187</v>
      </c>
      <c r="D23" s="2" t="s">
        <v>163</v>
      </c>
      <c r="E23" s="2" t="s">
        <v>164</v>
      </c>
      <c r="F23" s="2" t="s">
        <v>165</v>
      </c>
      <c r="G23" s="2" t="s">
        <v>165</v>
      </c>
      <c r="H23" s="2" t="s">
        <v>166</v>
      </c>
      <c r="I23" s="2" t="s">
        <v>167</v>
      </c>
      <c r="J23" s="2" t="s">
        <v>168</v>
      </c>
      <c r="K23" s="5"/>
      <c r="L23" s="6" t="str">
        <f t="shared" si="0"/>
        <v/>
      </c>
      <c r="M23" s="6" t="str">
        <f>IF(L23="","",L23*(1+'Portfolio summary'!B18))</f>
        <v/>
      </c>
      <c r="N23" s="2" t="s">
        <v>169</v>
      </c>
      <c r="O23" s="2" t="s">
        <v>170</v>
      </c>
      <c r="P23" s="2" t="s">
        <v>171</v>
      </c>
      <c r="Q23" s="2" t="s">
        <v>172</v>
      </c>
      <c r="R23" s="2" t="s">
        <v>21</v>
      </c>
      <c r="S23" s="2" t="s">
        <v>173</v>
      </c>
    </row>
    <row r="24" ht="88" customHeight="1" spans="1:19">
      <c r="A24" s="2" t="s">
        <v>188</v>
      </c>
      <c r="B24" s="2" t="s">
        <v>11</v>
      </c>
      <c r="C24" s="2" t="s">
        <v>189</v>
      </c>
      <c r="D24" s="2" t="s">
        <v>163</v>
      </c>
      <c r="E24" s="2" t="s">
        <v>164</v>
      </c>
      <c r="F24" s="2" t="s">
        <v>165</v>
      </c>
      <c r="G24" s="2" t="s">
        <v>165</v>
      </c>
      <c r="H24" s="2" t="s">
        <v>166</v>
      </c>
      <c r="I24" s="2" t="s">
        <v>167</v>
      </c>
      <c r="J24" s="2" t="s">
        <v>168</v>
      </c>
      <c r="K24" s="5"/>
      <c r="L24" s="6" t="str">
        <f t="shared" si="0"/>
        <v/>
      </c>
      <c r="M24" s="6" t="str">
        <f>IF(L24="","",L24*(1+'Portfolio summary'!B18))</f>
        <v/>
      </c>
      <c r="N24" s="2" t="s">
        <v>169</v>
      </c>
      <c r="O24" s="2" t="s">
        <v>170</v>
      </c>
      <c r="P24" s="2" t="s">
        <v>171</v>
      </c>
      <c r="Q24" s="2" t="s">
        <v>172</v>
      </c>
      <c r="R24" s="2" t="s">
        <v>21</v>
      </c>
      <c r="S24" s="2" t="s">
        <v>173</v>
      </c>
    </row>
    <row r="25" ht="88" customHeight="1" spans="1:19">
      <c r="A25" s="2" t="s">
        <v>190</v>
      </c>
      <c r="B25" s="2" t="s">
        <v>12</v>
      </c>
      <c r="C25" s="2" t="s">
        <v>191</v>
      </c>
      <c r="D25" s="2" t="s">
        <v>73</v>
      </c>
      <c r="E25" s="2" t="s">
        <v>192</v>
      </c>
      <c r="F25" s="2" t="s">
        <v>193</v>
      </c>
      <c r="G25" s="2" t="s">
        <v>194</v>
      </c>
      <c r="H25" s="2" t="s">
        <v>77</v>
      </c>
      <c r="I25" s="2" t="s">
        <v>78</v>
      </c>
      <c r="J25" s="2"/>
      <c r="K25" s="5">
        <v>16124706</v>
      </c>
      <c r="L25" s="6">
        <f t="shared" si="0"/>
        <v>16124.706</v>
      </c>
      <c r="M25" s="6">
        <f>IF(L25="","",L25*(1+'Portfolio summary'!B18))</f>
        <v>18543.4119</v>
      </c>
      <c r="N25" s="2" t="s">
        <v>195</v>
      </c>
      <c r="O25" s="2" t="s">
        <v>196</v>
      </c>
      <c r="P25" s="2" t="s">
        <v>197</v>
      </c>
      <c r="Q25" s="2" t="s">
        <v>198</v>
      </c>
      <c r="R25" s="2" t="s">
        <v>21</v>
      </c>
      <c r="S25" s="2" t="s">
        <v>83</v>
      </c>
    </row>
    <row r="26" ht="88" customHeight="1" spans="1:19">
      <c r="A26" s="2" t="s">
        <v>199</v>
      </c>
      <c r="B26" s="2" t="s">
        <v>12</v>
      </c>
      <c r="C26" s="2" t="s">
        <v>200</v>
      </c>
      <c r="D26" s="2" t="s">
        <v>73</v>
      </c>
      <c r="E26" s="2" t="s">
        <v>201</v>
      </c>
      <c r="F26" s="2" t="s">
        <v>193</v>
      </c>
      <c r="G26" s="2" t="s">
        <v>202</v>
      </c>
      <c r="H26" s="2" t="s">
        <v>77</v>
      </c>
      <c r="I26" s="2" t="s">
        <v>78</v>
      </c>
      <c r="J26" s="2"/>
      <c r="K26" s="5">
        <v>5235294</v>
      </c>
      <c r="L26" s="6">
        <f t="shared" si="0"/>
        <v>5235.294</v>
      </c>
      <c r="M26" s="6">
        <f>IF(L26="","",L26*(1+'Portfolio summary'!B18))</f>
        <v>6020.5881</v>
      </c>
      <c r="N26" s="2" t="s">
        <v>203</v>
      </c>
      <c r="O26" s="2" t="s">
        <v>204</v>
      </c>
      <c r="P26" s="2" t="s">
        <v>205</v>
      </c>
      <c r="Q26" s="2" t="s">
        <v>206</v>
      </c>
      <c r="R26" s="2" t="s">
        <v>21</v>
      </c>
      <c r="S26" s="2" t="s">
        <v>83</v>
      </c>
    </row>
    <row r="27" ht="88" customHeight="1" spans="1:19">
      <c r="A27" s="2" t="s">
        <v>207</v>
      </c>
      <c r="B27" s="2" t="s">
        <v>12</v>
      </c>
      <c r="C27" s="2" t="s">
        <v>208</v>
      </c>
      <c r="D27" s="2" t="s">
        <v>73</v>
      </c>
      <c r="E27" s="2" t="s">
        <v>209</v>
      </c>
      <c r="F27" s="2" t="s">
        <v>193</v>
      </c>
      <c r="G27" s="2" t="s">
        <v>210</v>
      </c>
      <c r="H27" s="2" t="s">
        <v>77</v>
      </c>
      <c r="I27" s="2" t="s">
        <v>78</v>
      </c>
      <c r="J27" s="2"/>
      <c r="K27" s="5">
        <v>3000000</v>
      </c>
      <c r="L27" s="6">
        <f t="shared" si="0"/>
        <v>3000</v>
      </c>
      <c r="M27" s="6">
        <f>IF(L27="","",L27*(1+'Portfolio summary'!B18))</f>
        <v>3450</v>
      </c>
      <c r="N27" s="2" t="s">
        <v>211</v>
      </c>
      <c r="O27" s="2" t="s">
        <v>212</v>
      </c>
      <c r="P27" s="2" t="s">
        <v>213</v>
      </c>
      <c r="Q27" s="2" t="s">
        <v>214</v>
      </c>
      <c r="R27" s="2" t="s">
        <v>21</v>
      </c>
      <c r="S27" s="2" t="s">
        <v>83</v>
      </c>
    </row>
    <row r="28" ht="88" customHeight="1" spans="1:19">
      <c r="A28" s="2" t="s">
        <v>215</v>
      </c>
      <c r="B28" s="2" t="s">
        <v>13</v>
      </c>
      <c r="C28" s="2" t="s">
        <v>216</v>
      </c>
      <c r="D28" s="2" t="s">
        <v>73</v>
      </c>
      <c r="E28" s="2" t="s">
        <v>217</v>
      </c>
      <c r="F28" s="2" t="s">
        <v>95</v>
      </c>
      <c r="G28" s="2" t="s">
        <v>218</v>
      </c>
      <c r="H28" s="2" t="s">
        <v>77</v>
      </c>
      <c r="I28" s="2" t="s">
        <v>78</v>
      </c>
      <c r="J28" s="2"/>
      <c r="K28" s="5">
        <v>46280000</v>
      </c>
      <c r="L28" s="6">
        <f t="shared" si="0"/>
        <v>46280</v>
      </c>
      <c r="M28" s="6">
        <f>IF(L28="","",L28*(1+'Portfolio summary'!B18))</f>
        <v>53222</v>
      </c>
      <c r="N28" s="2" t="s">
        <v>219</v>
      </c>
      <c r="O28" s="2" t="s">
        <v>220</v>
      </c>
      <c r="P28" s="2" t="s">
        <v>221</v>
      </c>
      <c r="Q28" s="2" t="s">
        <v>222</v>
      </c>
      <c r="R28" s="2" t="s">
        <v>21</v>
      </c>
      <c r="S28" s="2" t="s">
        <v>83</v>
      </c>
    </row>
    <row r="29" ht="88" customHeight="1" spans="1:19">
      <c r="A29" s="2" t="s">
        <v>223</v>
      </c>
      <c r="B29" s="2" t="s">
        <v>13</v>
      </c>
      <c r="C29" s="2" t="s">
        <v>224</v>
      </c>
      <c r="D29" s="2" t="s">
        <v>73</v>
      </c>
      <c r="E29" s="2" t="s">
        <v>225</v>
      </c>
      <c r="F29" s="2" t="s">
        <v>226</v>
      </c>
      <c r="G29" s="2" t="s">
        <v>227</v>
      </c>
      <c r="H29" s="2" t="s">
        <v>77</v>
      </c>
      <c r="I29" s="2" t="s">
        <v>78</v>
      </c>
      <c r="J29" s="2"/>
      <c r="K29" s="5">
        <v>71200000</v>
      </c>
      <c r="L29" s="6">
        <f t="shared" si="0"/>
        <v>71200</v>
      </c>
      <c r="M29" s="6">
        <f>IF(L29="","",L29*(1+'Portfolio summary'!B18))</f>
        <v>81880</v>
      </c>
      <c r="N29" s="2" t="s">
        <v>228</v>
      </c>
      <c r="O29" s="2" t="s">
        <v>220</v>
      </c>
      <c r="P29" s="2" t="s">
        <v>229</v>
      </c>
      <c r="Q29" s="2" t="s">
        <v>230</v>
      </c>
      <c r="R29" s="2" t="s">
        <v>21</v>
      </c>
      <c r="S29" s="2" t="s">
        <v>83</v>
      </c>
    </row>
    <row r="30" ht="88" customHeight="1" spans="1:19">
      <c r="A30" s="2" t="s">
        <v>231</v>
      </c>
      <c r="B30" s="2" t="s">
        <v>13</v>
      </c>
      <c r="C30" s="2" t="s">
        <v>232</v>
      </c>
      <c r="D30" s="2" t="s">
        <v>73</v>
      </c>
      <c r="E30" s="2" t="s">
        <v>233</v>
      </c>
      <c r="F30" s="2" t="s">
        <v>234</v>
      </c>
      <c r="G30" s="2" t="s">
        <v>235</v>
      </c>
      <c r="H30" s="2" t="s">
        <v>77</v>
      </c>
      <c r="I30" s="2" t="s">
        <v>78</v>
      </c>
      <c r="J30" s="2"/>
      <c r="K30" s="5">
        <v>75388235</v>
      </c>
      <c r="L30" s="6">
        <f t="shared" si="0"/>
        <v>75388.235</v>
      </c>
      <c r="M30" s="6">
        <f>IF(L30="","",L30*(1+'Portfolio summary'!B18))</f>
        <v>86696.47025</v>
      </c>
      <c r="N30" s="2" t="s">
        <v>236</v>
      </c>
      <c r="O30" s="2" t="s">
        <v>237</v>
      </c>
      <c r="P30" s="2" t="s">
        <v>238</v>
      </c>
      <c r="Q30" s="2" t="s">
        <v>239</v>
      </c>
      <c r="R30" s="2" t="s">
        <v>21</v>
      </c>
      <c r="S30" s="2" t="s">
        <v>83</v>
      </c>
    </row>
    <row r="31" ht="88" customHeight="1" spans="1:19">
      <c r="A31" s="2" t="s">
        <v>240</v>
      </c>
      <c r="B31" s="2" t="s">
        <v>13</v>
      </c>
      <c r="C31" s="2" t="s">
        <v>241</v>
      </c>
      <c r="D31" s="2" t="s">
        <v>73</v>
      </c>
      <c r="E31" s="2" t="s">
        <v>242</v>
      </c>
      <c r="F31" s="2" t="s">
        <v>243</v>
      </c>
      <c r="G31" s="2" t="s">
        <v>244</v>
      </c>
      <c r="H31" s="2" t="s">
        <v>77</v>
      </c>
      <c r="I31" s="2" t="s">
        <v>78</v>
      </c>
      <c r="J31" s="2"/>
      <c r="K31" s="5">
        <v>3000000</v>
      </c>
      <c r="L31" s="6">
        <f t="shared" si="0"/>
        <v>3000</v>
      </c>
      <c r="M31" s="6">
        <f>IF(L31="","",L31*(1+'Portfolio summary'!B18))</f>
        <v>3450</v>
      </c>
      <c r="N31" s="2" t="s">
        <v>245</v>
      </c>
      <c r="O31" s="2" t="s">
        <v>246</v>
      </c>
      <c r="P31" s="2" t="s">
        <v>247</v>
      </c>
      <c r="Q31" s="2" t="s">
        <v>248</v>
      </c>
      <c r="R31" s="2" t="s">
        <v>21</v>
      </c>
      <c r="S31" s="2" t="s">
        <v>83</v>
      </c>
    </row>
    <row r="32" ht="88" customHeight="1" spans="1:19">
      <c r="A32" s="2" t="s">
        <v>249</v>
      </c>
      <c r="B32" s="2" t="s">
        <v>13</v>
      </c>
      <c r="C32" s="2" t="s">
        <v>250</v>
      </c>
      <c r="D32" s="2" t="s">
        <v>73</v>
      </c>
      <c r="E32" s="2" t="s">
        <v>251</v>
      </c>
      <c r="F32" s="2" t="s">
        <v>252</v>
      </c>
      <c r="G32" s="2" t="s">
        <v>253</v>
      </c>
      <c r="H32" s="2" t="s">
        <v>77</v>
      </c>
      <c r="I32" s="2" t="s">
        <v>78</v>
      </c>
      <c r="J32" s="2"/>
      <c r="K32" s="5">
        <v>8900000</v>
      </c>
      <c r="L32" s="6">
        <f t="shared" si="0"/>
        <v>8900</v>
      </c>
      <c r="M32" s="6">
        <f>IF(L32="","",L32*(1+'Portfolio summary'!B18))</f>
        <v>10235</v>
      </c>
      <c r="N32" s="2" t="s">
        <v>254</v>
      </c>
      <c r="O32" s="2" t="s">
        <v>255</v>
      </c>
      <c r="P32" s="2" t="s">
        <v>256</v>
      </c>
      <c r="Q32" s="2" t="s">
        <v>257</v>
      </c>
      <c r="R32" s="2" t="s">
        <v>21</v>
      </c>
      <c r="S32" s="2" t="s">
        <v>83</v>
      </c>
    </row>
    <row r="33" ht="88" customHeight="1" spans="1:19">
      <c r="A33" s="2" t="s">
        <v>258</v>
      </c>
      <c r="B33" s="2" t="s">
        <v>13</v>
      </c>
      <c r="C33" s="2" t="s">
        <v>259</v>
      </c>
      <c r="D33" s="2" t="s">
        <v>163</v>
      </c>
      <c r="E33" s="2" t="s">
        <v>164</v>
      </c>
      <c r="F33" s="2" t="s">
        <v>165</v>
      </c>
      <c r="G33" s="2" t="s">
        <v>165</v>
      </c>
      <c r="H33" s="2" t="s">
        <v>166</v>
      </c>
      <c r="I33" s="2" t="s">
        <v>167</v>
      </c>
      <c r="J33" s="2" t="s">
        <v>168</v>
      </c>
      <c r="K33" s="5"/>
      <c r="L33" s="6" t="str">
        <f t="shared" si="0"/>
        <v/>
      </c>
      <c r="M33" s="6" t="str">
        <f>IF(L33="","",L33*(1+'Portfolio summary'!B18))</f>
        <v/>
      </c>
      <c r="N33" s="2" t="s">
        <v>169</v>
      </c>
      <c r="O33" s="2" t="s">
        <v>170</v>
      </c>
      <c r="P33" s="2" t="s">
        <v>171</v>
      </c>
      <c r="Q33" s="2" t="s">
        <v>172</v>
      </c>
      <c r="R33" s="2" t="s">
        <v>21</v>
      </c>
      <c r="S33" s="2" t="s">
        <v>173</v>
      </c>
    </row>
    <row r="34" ht="88" customHeight="1" spans="1:19">
      <c r="A34" s="2" t="s">
        <v>260</v>
      </c>
      <c r="B34" s="2" t="s">
        <v>13</v>
      </c>
      <c r="C34" s="2" t="s">
        <v>261</v>
      </c>
      <c r="D34" s="2" t="s">
        <v>163</v>
      </c>
      <c r="E34" s="2" t="s">
        <v>164</v>
      </c>
      <c r="F34" s="2" t="s">
        <v>165</v>
      </c>
      <c r="G34" s="2" t="s">
        <v>165</v>
      </c>
      <c r="H34" s="2" t="s">
        <v>166</v>
      </c>
      <c r="I34" s="2" t="s">
        <v>167</v>
      </c>
      <c r="J34" s="2" t="s">
        <v>168</v>
      </c>
      <c r="K34" s="5"/>
      <c r="L34" s="6" t="str">
        <f t="shared" si="0"/>
        <v/>
      </c>
      <c r="M34" s="6" t="str">
        <f>IF(L34="","",L34*(1+'Portfolio summary'!B18))</f>
        <v/>
      </c>
      <c r="N34" s="2" t="s">
        <v>169</v>
      </c>
      <c r="O34" s="2" t="s">
        <v>170</v>
      </c>
      <c r="P34" s="2" t="s">
        <v>171</v>
      </c>
      <c r="Q34" s="2" t="s">
        <v>172</v>
      </c>
      <c r="R34" s="2" t="s">
        <v>21</v>
      </c>
      <c r="S34" s="2" t="s">
        <v>173</v>
      </c>
    </row>
    <row r="35" ht="88" customHeight="1" spans="1:19">
      <c r="A35" s="2" t="s">
        <v>262</v>
      </c>
      <c r="B35" s="2" t="s">
        <v>13</v>
      </c>
      <c r="C35" s="2" t="s">
        <v>263</v>
      </c>
      <c r="D35" s="2" t="s">
        <v>163</v>
      </c>
      <c r="E35" s="2" t="s">
        <v>164</v>
      </c>
      <c r="F35" s="2" t="s">
        <v>165</v>
      </c>
      <c r="G35" s="2" t="s">
        <v>165</v>
      </c>
      <c r="H35" s="2" t="s">
        <v>166</v>
      </c>
      <c r="I35" s="2" t="s">
        <v>167</v>
      </c>
      <c r="J35" s="2" t="s">
        <v>168</v>
      </c>
      <c r="K35" s="5"/>
      <c r="L35" s="6" t="str">
        <f t="shared" si="0"/>
        <v/>
      </c>
      <c r="M35" s="6" t="str">
        <f>IF(L35="","",L35*(1+'Portfolio summary'!B18))</f>
        <v/>
      </c>
      <c r="N35" s="2" t="s">
        <v>169</v>
      </c>
      <c r="O35" s="2" t="s">
        <v>170</v>
      </c>
      <c r="P35" s="2" t="s">
        <v>171</v>
      </c>
      <c r="Q35" s="2" t="s">
        <v>172</v>
      </c>
      <c r="R35" s="2" t="s">
        <v>21</v>
      </c>
      <c r="S35" s="2" t="s">
        <v>173</v>
      </c>
    </row>
    <row r="36" ht="88" customHeight="1" spans="1:19">
      <c r="A36" s="2" t="s">
        <v>264</v>
      </c>
      <c r="B36" s="2" t="s">
        <v>13</v>
      </c>
      <c r="C36" s="2" t="s">
        <v>265</v>
      </c>
      <c r="D36" s="2" t="s">
        <v>163</v>
      </c>
      <c r="E36" s="2" t="s">
        <v>164</v>
      </c>
      <c r="F36" s="2" t="s">
        <v>165</v>
      </c>
      <c r="G36" s="2" t="s">
        <v>165</v>
      </c>
      <c r="H36" s="2" t="s">
        <v>166</v>
      </c>
      <c r="I36" s="2" t="s">
        <v>167</v>
      </c>
      <c r="J36" s="2" t="s">
        <v>168</v>
      </c>
      <c r="K36" s="5"/>
      <c r="L36" s="6" t="str">
        <f t="shared" si="0"/>
        <v/>
      </c>
      <c r="M36" s="6" t="str">
        <f>IF(L36="","",L36*(1+'Portfolio summary'!B18))</f>
        <v/>
      </c>
      <c r="N36" s="2" t="s">
        <v>169</v>
      </c>
      <c r="O36" s="2" t="s">
        <v>170</v>
      </c>
      <c r="P36" s="2" t="s">
        <v>171</v>
      </c>
      <c r="Q36" s="2" t="s">
        <v>172</v>
      </c>
      <c r="R36" s="2" t="s">
        <v>21</v>
      </c>
      <c r="S36" s="2" t="s">
        <v>173</v>
      </c>
    </row>
    <row r="37" ht="88" customHeight="1" spans="1:19">
      <c r="A37" s="2" t="s">
        <v>266</v>
      </c>
      <c r="B37" s="2" t="s">
        <v>13</v>
      </c>
      <c r="C37" s="2" t="s">
        <v>267</v>
      </c>
      <c r="D37" s="2" t="s">
        <v>163</v>
      </c>
      <c r="E37" s="2" t="s">
        <v>164</v>
      </c>
      <c r="F37" s="2" t="s">
        <v>165</v>
      </c>
      <c r="G37" s="2" t="s">
        <v>165</v>
      </c>
      <c r="H37" s="2" t="s">
        <v>166</v>
      </c>
      <c r="I37" s="2" t="s">
        <v>167</v>
      </c>
      <c r="J37" s="2" t="s">
        <v>168</v>
      </c>
      <c r="K37" s="5"/>
      <c r="L37" s="6" t="str">
        <f t="shared" si="0"/>
        <v/>
      </c>
      <c r="M37" s="6" t="str">
        <f>IF(L37="","",L37*(1+'Portfolio summary'!B18))</f>
        <v/>
      </c>
      <c r="N37" s="2" t="s">
        <v>169</v>
      </c>
      <c r="O37" s="2" t="s">
        <v>170</v>
      </c>
      <c r="P37" s="2" t="s">
        <v>171</v>
      </c>
      <c r="Q37" s="2" t="s">
        <v>172</v>
      </c>
      <c r="R37" s="2" t="s">
        <v>21</v>
      </c>
      <c r="S37" s="2" t="s">
        <v>173</v>
      </c>
    </row>
    <row r="38" ht="88" customHeight="1" spans="1:19">
      <c r="A38" s="2" t="s">
        <v>268</v>
      </c>
      <c r="B38" s="2" t="s">
        <v>13</v>
      </c>
      <c r="C38" s="2" t="s">
        <v>269</v>
      </c>
      <c r="D38" s="2" t="s">
        <v>163</v>
      </c>
      <c r="E38" s="2" t="s">
        <v>164</v>
      </c>
      <c r="F38" s="2" t="s">
        <v>165</v>
      </c>
      <c r="G38" s="2" t="s">
        <v>165</v>
      </c>
      <c r="H38" s="2" t="s">
        <v>166</v>
      </c>
      <c r="I38" s="2" t="s">
        <v>167</v>
      </c>
      <c r="J38" s="2" t="s">
        <v>168</v>
      </c>
      <c r="K38" s="5"/>
      <c r="L38" s="6" t="str">
        <f t="shared" si="0"/>
        <v/>
      </c>
      <c r="M38" s="6" t="str">
        <f>IF(L38="","",L38*(1+'Portfolio summary'!B18))</f>
        <v/>
      </c>
      <c r="N38" s="2" t="s">
        <v>169</v>
      </c>
      <c r="O38" s="2" t="s">
        <v>170</v>
      </c>
      <c r="P38" s="2" t="s">
        <v>171</v>
      </c>
      <c r="Q38" s="2" t="s">
        <v>172</v>
      </c>
      <c r="R38" s="2" t="s">
        <v>21</v>
      </c>
      <c r="S38" s="2" t="s">
        <v>173</v>
      </c>
    </row>
    <row r="39" ht="88" customHeight="1" spans="1:19">
      <c r="A39" s="2" t="s">
        <v>270</v>
      </c>
      <c r="B39" s="2" t="s">
        <v>13</v>
      </c>
      <c r="C39" s="2" t="s">
        <v>271</v>
      </c>
      <c r="D39" s="2" t="s">
        <v>163</v>
      </c>
      <c r="E39" s="2" t="s">
        <v>164</v>
      </c>
      <c r="F39" s="2" t="s">
        <v>165</v>
      </c>
      <c r="G39" s="2" t="s">
        <v>165</v>
      </c>
      <c r="H39" s="2" t="s">
        <v>166</v>
      </c>
      <c r="I39" s="2" t="s">
        <v>167</v>
      </c>
      <c r="J39" s="2" t="s">
        <v>168</v>
      </c>
      <c r="K39" s="5"/>
      <c r="L39" s="6" t="str">
        <f t="shared" si="0"/>
        <v/>
      </c>
      <c r="M39" s="6" t="str">
        <f>IF(L39="","",L39*(1+'Portfolio summary'!B18))</f>
        <v/>
      </c>
      <c r="N39" s="2" t="s">
        <v>169</v>
      </c>
      <c r="O39" s="2" t="s">
        <v>170</v>
      </c>
      <c r="P39" s="2" t="s">
        <v>171</v>
      </c>
      <c r="Q39" s="2" t="s">
        <v>172</v>
      </c>
      <c r="R39" s="2" t="s">
        <v>21</v>
      </c>
      <c r="S39" s="2" t="s">
        <v>173</v>
      </c>
    </row>
    <row r="40" ht="88" customHeight="1" spans="1:19">
      <c r="A40" s="2" t="s">
        <v>272</v>
      </c>
      <c r="B40" s="2" t="s">
        <v>13</v>
      </c>
      <c r="C40" s="2" t="s">
        <v>273</v>
      </c>
      <c r="D40" s="2" t="s">
        <v>163</v>
      </c>
      <c r="E40" s="2" t="s">
        <v>164</v>
      </c>
      <c r="F40" s="2" t="s">
        <v>165</v>
      </c>
      <c r="G40" s="2" t="s">
        <v>165</v>
      </c>
      <c r="H40" s="2" t="s">
        <v>166</v>
      </c>
      <c r="I40" s="2" t="s">
        <v>167</v>
      </c>
      <c r="J40" s="2" t="s">
        <v>168</v>
      </c>
      <c r="K40" s="5"/>
      <c r="L40" s="6" t="str">
        <f t="shared" si="0"/>
        <v/>
      </c>
      <c r="M40" s="6" t="str">
        <f>IF(L40="","",L40*(1+'Portfolio summary'!B18))</f>
        <v/>
      </c>
      <c r="N40" s="2" t="s">
        <v>169</v>
      </c>
      <c r="O40" s="2" t="s">
        <v>170</v>
      </c>
      <c r="P40" s="2" t="s">
        <v>171</v>
      </c>
      <c r="Q40" s="2" t="s">
        <v>172</v>
      </c>
      <c r="R40" s="2" t="s">
        <v>21</v>
      </c>
      <c r="S40" s="2" t="s">
        <v>173</v>
      </c>
    </row>
    <row r="41" ht="88" customHeight="1" spans="1:19">
      <c r="A41" s="2" t="s">
        <v>274</v>
      </c>
      <c r="B41" s="2" t="s">
        <v>13</v>
      </c>
      <c r="C41" s="2" t="s">
        <v>275</v>
      </c>
      <c r="D41" s="2" t="s">
        <v>163</v>
      </c>
      <c r="E41" s="2" t="s">
        <v>164</v>
      </c>
      <c r="F41" s="2" t="s">
        <v>165</v>
      </c>
      <c r="G41" s="2" t="s">
        <v>165</v>
      </c>
      <c r="H41" s="2" t="s">
        <v>166</v>
      </c>
      <c r="I41" s="2" t="s">
        <v>167</v>
      </c>
      <c r="J41" s="2" t="s">
        <v>168</v>
      </c>
      <c r="K41" s="5"/>
      <c r="L41" s="6" t="str">
        <f t="shared" si="0"/>
        <v/>
      </c>
      <c r="M41" s="6" t="str">
        <f>IF(L41="","",L41*(1+'Portfolio summary'!B18))</f>
        <v/>
      </c>
      <c r="N41" s="2" t="s">
        <v>169</v>
      </c>
      <c r="O41" s="2" t="s">
        <v>170</v>
      </c>
      <c r="P41" s="2" t="s">
        <v>171</v>
      </c>
      <c r="Q41" s="2" t="s">
        <v>172</v>
      </c>
      <c r="R41" s="2" t="s">
        <v>21</v>
      </c>
      <c r="S41" s="2" t="s">
        <v>173</v>
      </c>
    </row>
    <row r="42" ht="88" customHeight="1" spans="1:19">
      <c r="A42" s="2" t="s">
        <v>276</v>
      </c>
      <c r="B42" s="2" t="s">
        <v>13</v>
      </c>
      <c r="C42" s="2" t="s">
        <v>277</v>
      </c>
      <c r="D42" s="2" t="s">
        <v>163</v>
      </c>
      <c r="E42" s="2" t="s">
        <v>164</v>
      </c>
      <c r="F42" s="2" t="s">
        <v>165</v>
      </c>
      <c r="G42" s="2" t="s">
        <v>165</v>
      </c>
      <c r="H42" s="2" t="s">
        <v>166</v>
      </c>
      <c r="I42" s="2" t="s">
        <v>167</v>
      </c>
      <c r="J42" s="2" t="s">
        <v>168</v>
      </c>
      <c r="K42" s="5"/>
      <c r="L42" s="6" t="str">
        <f t="shared" si="0"/>
        <v/>
      </c>
      <c r="M42" s="6" t="str">
        <f>IF(L42="","",L42*(1+'Portfolio summary'!B18))</f>
        <v/>
      </c>
      <c r="N42" s="2" t="s">
        <v>169</v>
      </c>
      <c r="O42" s="2" t="s">
        <v>170</v>
      </c>
      <c r="P42" s="2" t="s">
        <v>171</v>
      </c>
      <c r="Q42" s="2" t="s">
        <v>172</v>
      </c>
      <c r="R42" s="2" t="s">
        <v>21</v>
      </c>
      <c r="S42" s="2" t="s">
        <v>173</v>
      </c>
    </row>
    <row r="43" ht="88" customHeight="1" spans="1:19">
      <c r="A43" s="2" t="s">
        <v>278</v>
      </c>
      <c r="B43" s="2" t="s">
        <v>13</v>
      </c>
      <c r="C43" s="2" t="s">
        <v>279</v>
      </c>
      <c r="D43" s="2" t="s">
        <v>163</v>
      </c>
      <c r="E43" s="2" t="s">
        <v>164</v>
      </c>
      <c r="F43" s="2" t="s">
        <v>165</v>
      </c>
      <c r="G43" s="2" t="s">
        <v>165</v>
      </c>
      <c r="H43" s="2" t="s">
        <v>166</v>
      </c>
      <c r="I43" s="2" t="s">
        <v>167</v>
      </c>
      <c r="J43" s="2" t="s">
        <v>168</v>
      </c>
      <c r="K43" s="5"/>
      <c r="L43" s="6" t="str">
        <f t="shared" si="0"/>
        <v/>
      </c>
      <c r="M43" s="6" t="str">
        <f>IF(L43="","",L43*(1+'Portfolio summary'!B18))</f>
        <v/>
      </c>
      <c r="N43" s="2" t="s">
        <v>169</v>
      </c>
      <c r="O43" s="2" t="s">
        <v>170</v>
      </c>
      <c r="P43" s="2" t="s">
        <v>171</v>
      </c>
      <c r="Q43" s="2" t="s">
        <v>172</v>
      </c>
      <c r="R43" s="2" t="s">
        <v>21</v>
      </c>
      <c r="S43" s="2" t="s">
        <v>173</v>
      </c>
    </row>
    <row r="44" ht="88" customHeight="1" spans="1:19">
      <c r="A44" s="2" t="s">
        <v>280</v>
      </c>
      <c r="B44" s="2" t="s">
        <v>13</v>
      </c>
      <c r="C44" s="2" t="s">
        <v>281</v>
      </c>
      <c r="D44" s="2" t="s">
        <v>163</v>
      </c>
      <c r="E44" s="2" t="s">
        <v>164</v>
      </c>
      <c r="F44" s="2" t="s">
        <v>165</v>
      </c>
      <c r="G44" s="2" t="s">
        <v>165</v>
      </c>
      <c r="H44" s="2" t="s">
        <v>166</v>
      </c>
      <c r="I44" s="2" t="s">
        <v>167</v>
      </c>
      <c r="J44" s="2" t="s">
        <v>168</v>
      </c>
      <c r="K44" s="5"/>
      <c r="L44" s="6" t="str">
        <f t="shared" si="0"/>
        <v/>
      </c>
      <c r="M44" s="6" t="str">
        <f>IF(L44="","",L44*(1+'Portfolio summary'!B18))</f>
        <v/>
      </c>
      <c r="N44" s="2" t="s">
        <v>169</v>
      </c>
      <c r="O44" s="2" t="s">
        <v>170</v>
      </c>
      <c r="P44" s="2" t="s">
        <v>171</v>
      </c>
      <c r="Q44" s="2" t="s">
        <v>172</v>
      </c>
      <c r="R44" s="2" t="s">
        <v>21</v>
      </c>
      <c r="S44" s="2" t="s">
        <v>173</v>
      </c>
    </row>
    <row r="45" ht="88" customHeight="1" spans="1:19">
      <c r="A45" s="2" t="s">
        <v>282</v>
      </c>
      <c r="B45" s="2" t="s">
        <v>13</v>
      </c>
      <c r="C45" s="2" t="s">
        <v>283</v>
      </c>
      <c r="D45" s="2" t="s">
        <v>163</v>
      </c>
      <c r="E45" s="2" t="s">
        <v>164</v>
      </c>
      <c r="F45" s="2" t="s">
        <v>165</v>
      </c>
      <c r="G45" s="2" t="s">
        <v>165</v>
      </c>
      <c r="H45" s="2" t="s">
        <v>166</v>
      </c>
      <c r="I45" s="2" t="s">
        <v>167</v>
      </c>
      <c r="J45" s="2" t="s">
        <v>168</v>
      </c>
      <c r="K45" s="5"/>
      <c r="L45" s="6" t="str">
        <f t="shared" si="0"/>
        <v/>
      </c>
      <c r="M45" s="6" t="str">
        <f>IF(L45="","",L45*(1+'Portfolio summary'!B18))</f>
        <v/>
      </c>
      <c r="N45" s="2" t="s">
        <v>169</v>
      </c>
      <c r="O45" s="2" t="s">
        <v>170</v>
      </c>
      <c r="P45" s="2" t="s">
        <v>171</v>
      </c>
      <c r="Q45" s="2" t="s">
        <v>172</v>
      </c>
      <c r="R45" s="2" t="s">
        <v>21</v>
      </c>
      <c r="S45" s="2" t="s">
        <v>173</v>
      </c>
    </row>
  </sheetData>
  <mergeCells count="2">
    <mergeCell ref="A1:S1"/>
    <mergeCell ref="A2:S3"/>
  </mergeCells>
  <conditionalFormatting sqref="D6:D45">
    <cfRule type="containsText" dxfId="0" priority="1" operator="between" text="Unnamed">
      <formula>NOT(ISERROR(SEARCH("Unnamed",D6)))</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F86"/>
  </sheetPr>
  <dimension ref="A1:G74"/>
  <sheetViews>
    <sheetView showGridLines="0" workbookViewId="0">
      <pane ySplit="5" topLeftCell="A24" activePane="bottomLeft" state="frozen"/>
      <selection/>
      <selection pane="bottomLeft" activeCell="A1" sqref="A1:G1"/>
    </sheetView>
  </sheetViews>
  <sheetFormatPr defaultColWidth="9" defaultRowHeight="14" outlineLevelCol="6"/>
  <cols>
    <col min="1" max="1" width="46" customWidth="1"/>
    <col min="2" max="3" width="36" customWidth="1"/>
    <col min="4" max="4" width="32" customWidth="1"/>
    <col min="5" max="5" width="55" customWidth="1"/>
    <col min="6" max="6" width="80" customWidth="1"/>
    <col min="7" max="7" width="70" customWidth="1"/>
  </cols>
  <sheetData>
    <row r="1" ht="34" customHeight="1" spans="1:7">
      <c r="A1" s="1" t="s">
        <v>284</v>
      </c>
      <c r="B1" s="1"/>
      <c r="C1" s="1"/>
      <c r="D1" s="1"/>
      <c r="E1" s="1"/>
      <c r="F1" s="1"/>
      <c r="G1" s="1"/>
    </row>
    <row r="2" ht="24" customHeight="1" spans="1:7">
      <c r="A2" s="2" t="s">
        <v>285</v>
      </c>
      <c r="B2" s="2"/>
      <c r="C2" s="2"/>
      <c r="D2" s="2"/>
      <c r="E2" s="2"/>
      <c r="F2" s="2"/>
      <c r="G2" s="2"/>
    </row>
    <row r="3" ht="24" customHeight="1" spans="1:7">
      <c r="A3" s="2"/>
      <c r="B3" s="2"/>
      <c r="C3" s="2"/>
      <c r="D3" s="2"/>
      <c r="E3" s="2"/>
      <c r="F3" s="2"/>
      <c r="G3" s="2"/>
    </row>
    <row r="4" spans="1:7">
      <c r="A4" s="2"/>
      <c r="B4" s="2"/>
      <c r="C4" s="2"/>
      <c r="D4" s="2"/>
      <c r="E4" s="2"/>
      <c r="F4" s="2"/>
      <c r="G4" s="2"/>
    </row>
    <row r="5" ht="44" customHeight="1" spans="1:7">
      <c r="A5" s="3" t="s">
        <v>286</v>
      </c>
      <c r="B5" s="3" t="s">
        <v>287</v>
      </c>
      <c r="C5" s="3" t="s">
        <v>288</v>
      </c>
      <c r="D5" s="3" t="s">
        <v>289</v>
      </c>
      <c r="E5" s="3" t="s">
        <v>290</v>
      </c>
      <c r="F5" s="3" t="s">
        <v>291</v>
      </c>
      <c r="G5" s="3" t="s">
        <v>18</v>
      </c>
    </row>
    <row r="6" ht="88" customHeight="1" spans="1:7">
      <c r="A6" s="2" t="s">
        <v>292</v>
      </c>
      <c r="B6" s="2" t="s">
        <v>293</v>
      </c>
      <c r="C6" s="2" t="s">
        <v>294</v>
      </c>
      <c r="D6" s="2" t="s">
        <v>295</v>
      </c>
      <c r="E6" s="2" t="s">
        <v>296</v>
      </c>
      <c r="F6" s="2" t="s">
        <v>297</v>
      </c>
      <c r="G6" s="2" t="s">
        <v>83</v>
      </c>
    </row>
    <row r="7" ht="88" customHeight="1" spans="1:7">
      <c r="A7" s="2" t="s">
        <v>298</v>
      </c>
      <c r="B7" s="2" t="s">
        <v>293</v>
      </c>
      <c r="C7" s="2" t="s">
        <v>294</v>
      </c>
      <c r="D7" s="2" t="s">
        <v>299</v>
      </c>
      <c r="E7" s="2" t="s">
        <v>300</v>
      </c>
      <c r="F7" s="2" t="s">
        <v>297</v>
      </c>
      <c r="G7" s="2" t="s">
        <v>301</v>
      </c>
    </row>
    <row r="8" ht="88" customHeight="1" spans="1:7">
      <c r="A8" s="2" t="s">
        <v>302</v>
      </c>
      <c r="B8" s="2" t="s">
        <v>293</v>
      </c>
      <c r="C8" s="2" t="s">
        <v>294</v>
      </c>
      <c r="D8" s="2" t="s">
        <v>303</v>
      </c>
      <c r="E8" s="2" t="s">
        <v>304</v>
      </c>
      <c r="F8" s="2" t="s">
        <v>305</v>
      </c>
      <c r="G8" s="2" t="s">
        <v>306</v>
      </c>
    </row>
    <row r="9" ht="88" customHeight="1" spans="1:7">
      <c r="A9" s="2" t="s">
        <v>129</v>
      </c>
      <c r="B9" s="2" t="s">
        <v>307</v>
      </c>
      <c r="C9" s="2" t="s">
        <v>308</v>
      </c>
      <c r="D9" s="2" t="s">
        <v>309</v>
      </c>
      <c r="E9" s="2" t="s">
        <v>310</v>
      </c>
      <c r="F9" s="2" t="s">
        <v>311</v>
      </c>
      <c r="G9" s="2" t="s">
        <v>312</v>
      </c>
    </row>
    <row r="10" ht="88" customHeight="1" spans="1:7">
      <c r="A10" s="2" t="s">
        <v>120</v>
      </c>
      <c r="B10" s="2" t="s">
        <v>307</v>
      </c>
      <c r="C10" s="2" t="s">
        <v>308</v>
      </c>
      <c r="D10" s="2" t="s">
        <v>309</v>
      </c>
      <c r="E10" s="2" t="s">
        <v>313</v>
      </c>
      <c r="F10" s="2" t="s">
        <v>311</v>
      </c>
      <c r="G10" s="2" t="s">
        <v>312</v>
      </c>
    </row>
    <row r="11" ht="88" customHeight="1" spans="1:7">
      <c r="A11" s="2" t="s">
        <v>75</v>
      </c>
      <c r="B11" s="2" t="s">
        <v>307</v>
      </c>
      <c r="C11" s="2" t="s">
        <v>308</v>
      </c>
      <c r="D11" s="2" t="s">
        <v>314</v>
      </c>
      <c r="E11" s="2" t="s">
        <v>315</v>
      </c>
      <c r="F11" s="2" t="s">
        <v>311</v>
      </c>
      <c r="G11" s="2" t="s">
        <v>312</v>
      </c>
    </row>
    <row r="12" ht="88" customHeight="1" spans="1:7">
      <c r="A12" s="2" t="s">
        <v>316</v>
      </c>
      <c r="B12" s="2" t="s">
        <v>307</v>
      </c>
      <c r="C12" s="2" t="s">
        <v>308</v>
      </c>
      <c r="D12" s="2" t="s">
        <v>317</v>
      </c>
      <c r="E12" s="2" t="s">
        <v>318</v>
      </c>
      <c r="F12" s="2" t="s">
        <v>311</v>
      </c>
      <c r="G12" s="2" t="s">
        <v>312</v>
      </c>
    </row>
    <row r="13" ht="88" customHeight="1" spans="1:7">
      <c r="A13" s="2" t="s">
        <v>319</v>
      </c>
      <c r="B13" s="2" t="s">
        <v>307</v>
      </c>
      <c r="C13" s="2" t="s">
        <v>308</v>
      </c>
      <c r="D13" s="2" t="s">
        <v>317</v>
      </c>
      <c r="E13" s="2" t="s">
        <v>318</v>
      </c>
      <c r="F13" s="2" t="s">
        <v>311</v>
      </c>
      <c r="G13" s="2" t="s">
        <v>312</v>
      </c>
    </row>
    <row r="14" ht="88" customHeight="1" spans="1:7">
      <c r="A14" s="2" t="s">
        <v>320</v>
      </c>
      <c r="B14" s="2" t="s">
        <v>307</v>
      </c>
      <c r="C14" s="2" t="s">
        <v>308</v>
      </c>
      <c r="D14" s="2" t="s">
        <v>317</v>
      </c>
      <c r="E14" s="2" t="s">
        <v>318</v>
      </c>
      <c r="F14" s="2" t="s">
        <v>311</v>
      </c>
      <c r="G14" s="2" t="s">
        <v>312</v>
      </c>
    </row>
    <row r="15" ht="88" customHeight="1" spans="1:7">
      <c r="A15" s="2" t="s">
        <v>321</v>
      </c>
      <c r="B15" s="2" t="s">
        <v>307</v>
      </c>
      <c r="C15" s="2" t="s">
        <v>308</v>
      </c>
      <c r="D15" s="2" t="s">
        <v>317</v>
      </c>
      <c r="E15" s="2" t="s">
        <v>322</v>
      </c>
      <c r="F15" s="2" t="s">
        <v>311</v>
      </c>
      <c r="G15" s="2" t="s">
        <v>312</v>
      </c>
    </row>
    <row r="16" ht="88" customHeight="1" spans="1:7">
      <c r="A16" s="2" t="s">
        <v>323</v>
      </c>
      <c r="B16" s="2" t="s">
        <v>307</v>
      </c>
      <c r="C16" s="2" t="s">
        <v>308</v>
      </c>
      <c r="D16" s="2" t="s">
        <v>324</v>
      </c>
      <c r="E16" s="2" t="s">
        <v>325</v>
      </c>
      <c r="F16" s="2" t="s">
        <v>311</v>
      </c>
      <c r="G16" s="2" t="s">
        <v>312</v>
      </c>
    </row>
    <row r="17" ht="88" customHeight="1" spans="1:7">
      <c r="A17" s="2" t="s">
        <v>326</v>
      </c>
      <c r="B17" s="2" t="s">
        <v>307</v>
      </c>
      <c r="C17" s="2" t="s">
        <v>308</v>
      </c>
      <c r="D17" s="2" t="s">
        <v>327</v>
      </c>
      <c r="E17" s="2" t="s">
        <v>328</v>
      </c>
      <c r="F17" s="2" t="s">
        <v>311</v>
      </c>
      <c r="G17" s="2" t="s">
        <v>312</v>
      </c>
    </row>
    <row r="18" ht="88" customHeight="1" spans="1:7">
      <c r="A18" s="2" t="s">
        <v>329</v>
      </c>
      <c r="B18" s="2" t="s">
        <v>307</v>
      </c>
      <c r="C18" s="2" t="s">
        <v>308</v>
      </c>
      <c r="D18" s="2" t="s">
        <v>330</v>
      </c>
      <c r="E18" s="2" t="s">
        <v>331</v>
      </c>
      <c r="F18" s="2" t="s">
        <v>311</v>
      </c>
      <c r="G18" s="2" t="s">
        <v>312</v>
      </c>
    </row>
    <row r="19" ht="88" customHeight="1" spans="1:7">
      <c r="A19" s="2" t="s">
        <v>332</v>
      </c>
      <c r="B19" s="2" t="s">
        <v>307</v>
      </c>
      <c r="C19" s="2" t="s">
        <v>308</v>
      </c>
      <c r="D19" s="2" t="s">
        <v>333</v>
      </c>
      <c r="E19" s="2" t="s">
        <v>334</v>
      </c>
      <c r="F19" s="2" t="s">
        <v>311</v>
      </c>
      <c r="G19" s="2" t="s">
        <v>312</v>
      </c>
    </row>
    <row r="20" ht="88" customHeight="1" spans="1:7">
      <c r="A20" s="2" t="s">
        <v>335</v>
      </c>
      <c r="B20" s="2" t="s">
        <v>307</v>
      </c>
      <c r="C20" s="2" t="s">
        <v>308</v>
      </c>
      <c r="D20" s="2" t="s">
        <v>336</v>
      </c>
      <c r="E20" s="2" t="s">
        <v>337</v>
      </c>
      <c r="F20" s="2" t="s">
        <v>311</v>
      </c>
      <c r="G20" s="2" t="s">
        <v>312</v>
      </c>
    </row>
    <row r="21" ht="88" customHeight="1" spans="1:7">
      <c r="A21" s="2" t="s">
        <v>338</v>
      </c>
      <c r="B21" s="2" t="s">
        <v>307</v>
      </c>
      <c r="C21" s="2" t="s">
        <v>308</v>
      </c>
      <c r="D21" s="2" t="s">
        <v>333</v>
      </c>
      <c r="E21" s="2" t="s">
        <v>339</v>
      </c>
      <c r="F21" s="2" t="s">
        <v>311</v>
      </c>
      <c r="G21" s="2" t="s">
        <v>312</v>
      </c>
    </row>
    <row r="22" ht="88" customHeight="1" spans="1:7">
      <c r="A22" s="2" t="s">
        <v>340</v>
      </c>
      <c r="B22" s="2" t="s">
        <v>307</v>
      </c>
      <c r="C22" s="2" t="s">
        <v>308</v>
      </c>
      <c r="D22" s="2" t="s">
        <v>333</v>
      </c>
      <c r="E22" s="2" t="s">
        <v>341</v>
      </c>
      <c r="F22" s="2" t="s">
        <v>311</v>
      </c>
      <c r="G22" s="2" t="s">
        <v>312</v>
      </c>
    </row>
    <row r="23" ht="88" customHeight="1" spans="1:7">
      <c r="A23" s="2" t="s">
        <v>342</v>
      </c>
      <c r="B23" s="2" t="s">
        <v>307</v>
      </c>
      <c r="C23" s="2" t="s">
        <v>308</v>
      </c>
      <c r="D23" s="2" t="s">
        <v>333</v>
      </c>
      <c r="E23" s="2" t="s">
        <v>343</v>
      </c>
      <c r="F23" s="2" t="s">
        <v>311</v>
      </c>
      <c r="G23" s="2" t="s">
        <v>312</v>
      </c>
    </row>
    <row r="24" ht="88" customHeight="1" spans="1:7">
      <c r="A24" s="2" t="s">
        <v>344</v>
      </c>
      <c r="B24" s="2" t="s">
        <v>307</v>
      </c>
      <c r="C24" s="2" t="s">
        <v>308</v>
      </c>
      <c r="D24" s="2" t="s">
        <v>333</v>
      </c>
      <c r="E24" s="2" t="s">
        <v>345</v>
      </c>
      <c r="F24" s="2" t="s">
        <v>311</v>
      </c>
      <c r="G24" s="2" t="s">
        <v>312</v>
      </c>
    </row>
    <row r="25" ht="88" customHeight="1" spans="1:7">
      <c r="A25" s="2" t="s">
        <v>346</v>
      </c>
      <c r="B25" s="2" t="s">
        <v>307</v>
      </c>
      <c r="C25" s="2" t="s">
        <v>308</v>
      </c>
      <c r="D25" s="2" t="s">
        <v>333</v>
      </c>
      <c r="E25" s="2" t="s">
        <v>347</v>
      </c>
      <c r="F25" s="2" t="s">
        <v>311</v>
      </c>
      <c r="G25" s="2" t="s">
        <v>312</v>
      </c>
    </row>
    <row r="26" ht="88" customHeight="1" spans="1:7">
      <c r="A26" s="2" t="s">
        <v>348</v>
      </c>
      <c r="B26" s="2" t="s">
        <v>307</v>
      </c>
      <c r="C26" s="2" t="s">
        <v>308</v>
      </c>
      <c r="D26" s="2" t="s">
        <v>349</v>
      </c>
      <c r="E26" s="2" t="s">
        <v>350</v>
      </c>
      <c r="F26" s="2" t="s">
        <v>311</v>
      </c>
      <c r="G26" s="2" t="s">
        <v>312</v>
      </c>
    </row>
    <row r="27" ht="88" customHeight="1" spans="1:7">
      <c r="A27" s="2" t="s">
        <v>252</v>
      </c>
      <c r="B27" s="2" t="s">
        <v>307</v>
      </c>
      <c r="C27" s="2" t="s">
        <v>308</v>
      </c>
      <c r="D27" s="2" t="s">
        <v>351</v>
      </c>
      <c r="E27" s="2" t="s">
        <v>352</v>
      </c>
      <c r="F27" s="2" t="s">
        <v>311</v>
      </c>
      <c r="G27" s="2" t="s">
        <v>312</v>
      </c>
    </row>
    <row r="28" ht="88" customHeight="1" spans="1:7">
      <c r="A28" s="2" t="s">
        <v>353</v>
      </c>
      <c r="B28" s="2" t="s">
        <v>307</v>
      </c>
      <c r="C28" s="2" t="s">
        <v>308</v>
      </c>
      <c r="D28" s="2" t="s">
        <v>11</v>
      </c>
      <c r="E28" s="2" t="s">
        <v>354</v>
      </c>
      <c r="F28" s="2" t="s">
        <v>311</v>
      </c>
      <c r="G28" s="2" t="s">
        <v>312</v>
      </c>
    </row>
    <row r="29" ht="88" customHeight="1" spans="1:7">
      <c r="A29" s="2" t="s">
        <v>355</v>
      </c>
      <c r="B29" s="2" t="s">
        <v>307</v>
      </c>
      <c r="C29" s="2" t="s">
        <v>308</v>
      </c>
      <c r="D29" s="2" t="s">
        <v>336</v>
      </c>
      <c r="E29" s="2" t="s">
        <v>356</v>
      </c>
      <c r="F29" s="2" t="s">
        <v>311</v>
      </c>
      <c r="G29" s="2" t="s">
        <v>312</v>
      </c>
    </row>
    <row r="30" ht="88" customHeight="1" spans="1:7">
      <c r="A30" s="2" t="s">
        <v>357</v>
      </c>
      <c r="B30" s="2" t="s">
        <v>307</v>
      </c>
      <c r="C30" s="2" t="s">
        <v>308</v>
      </c>
      <c r="D30" s="2" t="s">
        <v>336</v>
      </c>
      <c r="E30" s="2" t="s">
        <v>358</v>
      </c>
      <c r="F30" s="2" t="s">
        <v>311</v>
      </c>
      <c r="G30" s="2" t="s">
        <v>312</v>
      </c>
    </row>
    <row r="31" ht="88" customHeight="1" spans="1:7">
      <c r="A31" s="2" t="s">
        <v>359</v>
      </c>
      <c r="B31" s="2" t="s">
        <v>307</v>
      </c>
      <c r="C31" s="2" t="s">
        <v>308</v>
      </c>
      <c r="D31" s="2" t="s">
        <v>336</v>
      </c>
      <c r="E31" s="2" t="s">
        <v>360</v>
      </c>
      <c r="F31" s="2" t="s">
        <v>311</v>
      </c>
      <c r="G31" s="2" t="s">
        <v>312</v>
      </c>
    </row>
    <row r="32" ht="88" customHeight="1" spans="1:7">
      <c r="A32" s="2" t="s">
        <v>361</v>
      </c>
      <c r="B32" s="2" t="s">
        <v>307</v>
      </c>
      <c r="C32" s="2" t="s">
        <v>308</v>
      </c>
      <c r="D32" s="2" t="s">
        <v>333</v>
      </c>
      <c r="E32" s="2" t="s">
        <v>362</v>
      </c>
      <c r="F32" s="2" t="s">
        <v>311</v>
      </c>
      <c r="G32" s="2" t="s">
        <v>312</v>
      </c>
    </row>
    <row r="33" ht="88" customHeight="1" spans="1:7">
      <c r="A33" s="2" t="s">
        <v>363</v>
      </c>
      <c r="B33" s="2" t="s">
        <v>307</v>
      </c>
      <c r="C33" s="2" t="s">
        <v>308</v>
      </c>
      <c r="D33" s="2" t="s">
        <v>11</v>
      </c>
      <c r="E33" s="2" t="s">
        <v>364</v>
      </c>
      <c r="F33" s="2" t="s">
        <v>311</v>
      </c>
      <c r="G33" s="2" t="s">
        <v>312</v>
      </c>
    </row>
    <row r="34" ht="88" customHeight="1" spans="1:7">
      <c r="A34" s="2" t="s">
        <v>365</v>
      </c>
      <c r="B34" s="2" t="s">
        <v>307</v>
      </c>
      <c r="C34" s="2" t="s">
        <v>308</v>
      </c>
      <c r="D34" s="2" t="s">
        <v>11</v>
      </c>
      <c r="E34" s="2" t="s">
        <v>366</v>
      </c>
      <c r="F34" s="2" t="s">
        <v>311</v>
      </c>
      <c r="G34" s="2" t="s">
        <v>312</v>
      </c>
    </row>
    <row r="35" ht="88" customHeight="1" spans="1:7">
      <c r="A35" s="2" t="s">
        <v>367</v>
      </c>
      <c r="B35" s="2" t="s">
        <v>307</v>
      </c>
      <c r="C35" s="2" t="s">
        <v>308</v>
      </c>
      <c r="D35" s="2" t="s">
        <v>11</v>
      </c>
      <c r="E35" s="2" t="s">
        <v>366</v>
      </c>
      <c r="F35" s="2" t="s">
        <v>311</v>
      </c>
      <c r="G35" s="2" t="s">
        <v>312</v>
      </c>
    </row>
    <row r="36" ht="88" customHeight="1" spans="1:7">
      <c r="A36" s="2" t="s">
        <v>368</v>
      </c>
      <c r="B36" s="2" t="s">
        <v>307</v>
      </c>
      <c r="C36" s="2" t="s">
        <v>308</v>
      </c>
      <c r="D36" s="2" t="s">
        <v>11</v>
      </c>
      <c r="E36" s="2" t="s">
        <v>366</v>
      </c>
      <c r="F36" s="2" t="s">
        <v>311</v>
      </c>
      <c r="G36" s="2" t="s">
        <v>312</v>
      </c>
    </row>
    <row r="37" ht="88" customHeight="1" spans="1:7">
      <c r="A37" s="2" t="s">
        <v>369</v>
      </c>
      <c r="B37" s="2" t="s">
        <v>307</v>
      </c>
      <c r="C37" s="2" t="s">
        <v>308</v>
      </c>
      <c r="D37" s="2" t="s">
        <v>11</v>
      </c>
      <c r="E37" s="2" t="s">
        <v>366</v>
      </c>
      <c r="F37" s="2" t="s">
        <v>311</v>
      </c>
      <c r="G37" s="2" t="s">
        <v>312</v>
      </c>
    </row>
    <row r="38" ht="88" customHeight="1" spans="1:7">
      <c r="A38" s="2" t="s">
        <v>370</v>
      </c>
      <c r="B38" s="2" t="s">
        <v>307</v>
      </c>
      <c r="C38" s="2" t="s">
        <v>308</v>
      </c>
      <c r="D38" s="2" t="s">
        <v>11</v>
      </c>
      <c r="E38" s="2" t="s">
        <v>366</v>
      </c>
      <c r="F38" s="2" t="s">
        <v>311</v>
      </c>
      <c r="G38" s="2" t="s">
        <v>312</v>
      </c>
    </row>
    <row r="39" ht="88" customHeight="1" spans="1:7">
      <c r="A39" s="2" t="s">
        <v>371</v>
      </c>
      <c r="B39" s="2" t="s">
        <v>307</v>
      </c>
      <c r="C39" s="2" t="s">
        <v>308</v>
      </c>
      <c r="D39" s="2" t="s">
        <v>372</v>
      </c>
      <c r="E39" s="2" t="s">
        <v>373</v>
      </c>
      <c r="F39" s="2" t="s">
        <v>311</v>
      </c>
      <c r="G39" s="2" t="s">
        <v>312</v>
      </c>
    </row>
    <row r="40" ht="88" customHeight="1" spans="1:7">
      <c r="A40" s="2" t="s">
        <v>374</v>
      </c>
      <c r="B40" s="2" t="s">
        <v>307</v>
      </c>
      <c r="C40" s="2" t="s">
        <v>308</v>
      </c>
      <c r="D40" s="2" t="s">
        <v>372</v>
      </c>
      <c r="E40" s="2" t="s">
        <v>375</v>
      </c>
      <c r="F40" s="2" t="s">
        <v>311</v>
      </c>
      <c r="G40" s="2" t="s">
        <v>312</v>
      </c>
    </row>
    <row r="41" ht="88" customHeight="1" spans="1:7">
      <c r="A41" s="2" t="s">
        <v>376</v>
      </c>
      <c r="B41" s="2" t="s">
        <v>307</v>
      </c>
      <c r="C41" s="2" t="s">
        <v>308</v>
      </c>
      <c r="D41" s="2" t="s">
        <v>372</v>
      </c>
      <c r="E41" s="2" t="s">
        <v>377</v>
      </c>
      <c r="F41" s="2" t="s">
        <v>311</v>
      </c>
      <c r="G41" s="2" t="s">
        <v>312</v>
      </c>
    </row>
    <row r="42" ht="88" customHeight="1" spans="1:7">
      <c r="A42" s="2" t="s">
        <v>378</v>
      </c>
      <c r="B42" s="2" t="s">
        <v>307</v>
      </c>
      <c r="C42" s="2" t="s">
        <v>308</v>
      </c>
      <c r="D42" s="2" t="s">
        <v>372</v>
      </c>
      <c r="E42" s="2" t="s">
        <v>379</v>
      </c>
      <c r="F42" s="2" t="s">
        <v>311</v>
      </c>
      <c r="G42" s="2" t="s">
        <v>312</v>
      </c>
    </row>
    <row r="43" ht="88" customHeight="1" spans="1:7">
      <c r="A43" s="2" t="s">
        <v>380</v>
      </c>
      <c r="B43" s="2" t="s">
        <v>307</v>
      </c>
      <c r="C43" s="2" t="s">
        <v>308</v>
      </c>
      <c r="D43" s="2" t="s">
        <v>381</v>
      </c>
      <c r="E43" s="2" t="s">
        <v>382</v>
      </c>
      <c r="F43" s="2" t="s">
        <v>311</v>
      </c>
      <c r="G43" s="2" t="s">
        <v>312</v>
      </c>
    </row>
    <row r="44" ht="88" customHeight="1" spans="1:7">
      <c r="A44" s="2" t="s">
        <v>383</v>
      </c>
      <c r="B44" s="2" t="s">
        <v>307</v>
      </c>
      <c r="C44" s="2" t="s">
        <v>308</v>
      </c>
      <c r="D44" s="2" t="s">
        <v>381</v>
      </c>
      <c r="E44" s="2" t="s">
        <v>384</v>
      </c>
      <c r="F44" s="2" t="s">
        <v>311</v>
      </c>
      <c r="G44" s="2" t="s">
        <v>312</v>
      </c>
    </row>
    <row r="45" ht="88" customHeight="1" spans="1:7">
      <c r="A45" s="2" t="s">
        <v>385</v>
      </c>
      <c r="B45" s="2" t="s">
        <v>307</v>
      </c>
      <c r="C45" s="2" t="s">
        <v>308</v>
      </c>
      <c r="D45" s="2" t="s">
        <v>381</v>
      </c>
      <c r="E45" s="2" t="s">
        <v>386</v>
      </c>
      <c r="F45" s="2" t="s">
        <v>311</v>
      </c>
      <c r="G45" s="2" t="s">
        <v>312</v>
      </c>
    </row>
    <row r="46" ht="88" customHeight="1" spans="1:7">
      <c r="A46" s="2" t="s">
        <v>387</v>
      </c>
      <c r="B46" s="2" t="s">
        <v>307</v>
      </c>
      <c r="C46" s="2" t="s">
        <v>308</v>
      </c>
      <c r="D46" s="2" t="s">
        <v>381</v>
      </c>
      <c r="E46" s="2" t="s">
        <v>388</v>
      </c>
      <c r="F46" s="2" t="s">
        <v>311</v>
      </c>
      <c r="G46" s="2" t="s">
        <v>312</v>
      </c>
    </row>
    <row r="47" ht="88" customHeight="1" spans="1:7">
      <c r="A47" s="2" t="s">
        <v>389</v>
      </c>
      <c r="B47" s="2" t="s">
        <v>307</v>
      </c>
      <c r="C47" s="2" t="s">
        <v>308</v>
      </c>
      <c r="D47" s="2" t="s">
        <v>330</v>
      </c>
      <c r="E47" s="2" t="s">
        <v>390</v>
      </c>
      <c r="F47" s="2" t="s">
        <v>311</v>
      </c>
      <c r="G47" s="2" t="s">
        <v>312</v>
      </c>
    </row>
    <row r="48" ht="88" customHeight="1" spans="1:7">
      <c r="A48" s="2" t="s">
        <v>391</v>
      </c>
      <c r="B48" s="2" t="s">
        <v>307</v>
      </c>
      <c r="C48" s="2" t="s">
        <v>308</v>
      </c>
      <c r="D48" s="2" t="s">
        <v>11</v>
      </c>
      <c r="E48" s="2" t="s">
        <v>392</v>
      </c>
      <c r="F48" s="2" t="s">
        <v>311</v>
      </c>
      <c r="G48" s="2" t="s">
        <v>312</v>
      </c>
    </row>
    <row r="49" ht="88" customHeight="1" spans="1:7">
      <c r="A49" s="2" t="s">
        <v>393</v>
      </c>
      <c r="B49" s="2" t="s">
        <v>307</v>
      </c>
      <c r="C49" s="2" t="s">
        <v>308</v>
      </c>
      <c r="D49" s="2" t="s">
        <v>336</v>
      </c>
      <c r="E49" s="2" t="s">
        <v>394</v>
      </c>
      <c r="F49" s="2" t="s">
        <v>311</v>
      </c>
      <c r="G49" s="2" t="s">
        <v>312</v>
      </c>
    </row>
    <row r="50" ht="88" customHeight="1" spans="1:7">
      <c r="A50" s="2" t="s">
        <v>395</v>
      </c>
      <c r="B50" s="2" t="s">
        <v>307</v>
      </c>
      <c r="C50" s="2" t="s">
        <v>308</v>
      </c>
      <c r="D50" s="2" t="s">
        <v>336</v>
      </c>
      <c r="E50" s="2" t="s">
        <v>396</v>
      </c>
      <c r="F50" s="2" t="s">
        <v>311</v>
      </c>
      <c r="G50" s="2" t="s">
        <v>312</v>
      </c>
    </row>
    <row r="51" ht="88" customHeight="1" spans="1:7">
      <c r="A51" s="2" t="s">
        <v>397</v>
      </c>
      <c r="B51" s="2" t="s">
        <v>307</v>
      </c>
      <c r="C51" s="2" t="s">
        <v>308</v>
      </c>
      <c r="D51" s="2" t="s">
        <v>336</v>
      </c>
      <c r="E51" s="2" t="s">
        <v>396</v>
      </c>
      <c r="F51" s="2" t="s">
        <v>311</v>
      </c>
      <c r="G51" s="2" t="s">
        <v>312</v>
      </c>
    </row>
    <row r="52" ht="88" customHeight="1" spans="1:7">
      <c r="A52" s="2" t="s">
        <v>398</v>
      </c>
      <c r="B52" s="2" t="s">
        <v>307</v>
      </c>
      <c r="C52" s="2" t="s">
        <v>308</v>
      </c>
      <c r="D52" s="2" t="s">
        <v>324</v>
      </c>
      <c r="E52" s="2" t="s">
        <v>399</v>
      </c>
      <c r="F52" s="2" t="s">
        <v>311</v>
      </c>
      <c r="G52" s="2" t="s">
        <v>312</v>
      </c>
    </row>
    <row r="53" ht="88" customHeight="1" spans="1:7">
      <c r="A53" s="2" t="s">
        <v>400</v>
      </c>
      <c r="B53" s="2" t="s">
        <v>307</v>
      </c>
      <c r="C53" s="2" t="s">
        <v>308</v>
      </c>
      <c r="D53" s="2" t="s">
        <v>11</v>
      </c>
      <c r="E53" s="2" t="s">
        <v>401</v>
      </c>
      <c r="F53" s="2" t="s">
        <v>311</v>
      </c>
      <c r="G53" s="2" t="s">
        <v>312</v>
      </c>
    </row>
    <row r="54" ht="88" customHeight="1" spans="1:7">
      <c r="A54" s="2" t="s">
        <v>402</v>
      </c>
      <c r="B54" s="2" t="s">
        <v>307</v>
      </c>
      <c r="C54" s="2" t="s">
        <v>308</v>
      </c>
      <c r="D54" s="2" t="s">
        <v>336</v>
      </c>
      <c r="E54" s="2" t="s">
        <v>403</v>
      </c>
      <c r="F54" s="2" t="s">
        <v>311</v>
      </c>
      <c r="G54" s="2" t="s">
        <v>312</v>
      </c>
    </row>
    <row r="55" ht="88" customHeight="1" spans="1:7">
      <c r="A55" s="2" t="s">
        <v>404</v>
      </c>
      <c r="B55" s="2" t="s">
        <v>307</v>
      </c>
      <c r="C55" s="2" t="s">
        <v>308</v>
      </c>
      <c r="D55" s="2" t="s">
        <v>324</v>
      </c>
      <c r="E55" s="2" t="s">
        <v>405</v>
      </c>
      <c r="F55" s="2" t="s">
        <v>311</v>
      </c>
      <c r="G55" s="2" t="s">
        <v>312</v>
      </c>
    </row>
    <row r="56" ht="88" customHeight="1" spans="1:7">
      <c r="A56" s="2" t="s">
        <v>406</v>
      </c>
      <c r="B56" s="2" t="s">
        <v>307</v>
      </c>
      <c r="C56" s="2" t="s">
        <v>308</v>
      </c>
      <c r="D56" s="2" t="s">
        <v>336</v>
      </c>
      <c r="E56" s="2" t="s">
        <v>407</v>
      </c>
      <c r="F56" s="2" t="s">
        <v>311</v>
      </c>
      <c r="G56" s="2" t="s">
        <v>312</v>
      </c>
    </row>
    <row r="57" ht="88" customHeight="1" spans="1:7">
      <c r="A57" s="2" t="s">
        <v>408</v>
      </c>
      <c r="B57" s="2" t="s">
        <v>307</v>
      </c>
      <c r="C57" s="2" t="s">
        <v>308</v>
      </c>
      <c r="D57" s="2" t="s">
        <v>336</v>
      </c>
      <c r="E57" s="2" t="s">
        <v>396</v>
      </c>
      <c r="F57" s="2" t="s">
        <v>311</v>
      </c>
      <c r="G57" s="2" t="s">
        <v>312</v>
      </c>
    </row>
    <row r="58" ht="88" customHeight="1" spans="1:7">
      <c r="A58" s="2" t="s">
        <v>409</v>
      </c>
      <c r="B58" s="2" t="s">
        <v>307</v>
      </c>
      <c r="C58" s="2" t="s">
        <v>308</v>
      </c>
      <c r="D58" s="2" t="s">
        <v>11</v>
      </c>
      <c r="E58" s="2" t="s">
        <v>410</v>
      </c>
      <c r="F58" s="2" t="s">
        <v>311</v>
      </c>
      <c r="G58" s="2" t="s">
        <v>312</v>
      </c>
    </row>
    <row r="59" ht="88" customHeight="1" spans="1:7">
      <c r="A59" s="2" t="s">
        <v>411</v>
      </c>
      <c r="B59" s="2" t="s">
        <v>307</v>
      </c>
      <c r="C59" s="2" t="s">
        <v>308</v>
      </c>
      <c r="D59" s="2" t="s">
        <v>330</v>
      </c>
      <c r="E59" s="2" t="s">
        <v>412</v>
      </c>
      <c r="F59" s="2" t="s">
        <v>311</v>
      </c>
      <c r="G59" s="2" t="s">
        <v>312</v>
      </c>
    </row>
    <row r="60" ht="88" customHeight="1" spans="1:7">
      <c r="A60" s="2" t="s">
        <v>413</v>
      </c>
      <c r="B60" s="2" t="s">
        <v>307</v>
      </c>
      <c r="C60" s="2" t="s">
        <v>308</v>
      </c>
      <c r="D60" s="2" t="s">
        <v>330</v>
      </c>
      <c r="E60" s="2" t="s">
        <v>414</v>
      </c>
      <c r="F60" s="2" t="s">
        <v>311</v>
      </c>
      <c r="G60" s="2" t="s">
        <v>312</v>
      </c>
    </row>
    <row r="61" ht="88" customHeight="1" spans="1:7">
      <c r="A61" s="2" t="s">
        <v>139</v>
      </c>
      <c r="B61" s="2" t="s">
        <v>415</v>
      </c>
      <c r="C61" s="2" t="s">
        <v>416</v>
      </c>
      <c r="D61" s="2" t="s">
        <v>137</v>
      </c>
      <c r="E61" s="2" t="s">
        <v>417</v>
      </c>
      <c r="F61" s="2" t="s">
        <v>418</v>
      </c>
      <c r="G61" s="2" t="s">
        <v>145</v>
      </c>
    </row>
    <row r="62" ht="88" customHeight="1" spans="1:7">
      <c r="A62" s="2" t="s">
        <v>419</v>
      </c>
      <c r="B62" s="2" t="s">
        <v>420</v>
      </c>
      <c r="C62" s="2" t="s">
        <v>421</v>
      </c>
      <c r="D62" s="2" t="s">
        <v>422</v>
      </c>
      <c r="E62" s="2" t="s">
        <v>423</v>
      </c>
      <c r="F62" s="2" t="s">
        <v>424</v>
      </c>
      <c r="G62" s="2" t="s">
        <v>425</v>
      </c>
    </row>
    <row r="63" ht="88" customHeight="1" spans="1:7">
      <c r="A63" s="2" t="s">
        <v>130</v>
      </c>
      <c r="B63" s="2" t="s">
        <v>426</v>
      </c>
      <c r="C63" s="2" t="s">
        <v>129</v>
      </c>
      <c r="D63" s="2" t="s">
        <v>427</v>
      </c>
      <c r="E63" s="2" t="s">
        <v>428</v>
      </c>
      <c r="F63" s="2" t="s">
        <v>429</v>
      </c>
      <c r="G63" s="2" t="s">
        <v>83</v>
      </c>
    </row>
    <row r="64" ht="88" customHeight="1" spans="1:7">
      <c r="A64" s="2" t="s">
        <v>430</v>
      </c>
      <c r="B64" s="2" t="s">
        <v>426</v>
      </c>
      <c r="C64" s="2" t="s">
        <v>129</v>
      </c>
      <c r="D64" s="2" t="s">
        <v>431</v>
      </c>
      <c r="E64" s="2" t="s">
        <v>428</v>
      </c>
      <c r="F64" s="2" t="s">
        <v>429</v>
      </c>
      <c r="G64" s="2" t="s">
        <v>83</v>
      </c>
    </row>
    <row r="65" ht="88" customHeight="1" spans="1:7">
      <c r="A65" s="2" t="s">
        <v>432</v>
      </c>
      <c r="B65" s="2" t="s">
        <v>426</v>
      </c>
      <c r="C65" s="2" t="s">
        <v>120</v>
      </c>
      <c r="D65" s="2" t="s">
        <v>433</v>
      </c>
      <c r="E65" s="2" t="s">
        <v>428</v>
      </c>
      <c r="F65" s="2" t="s">
        <v>429</v>
      </c>
      <c r="G65" s="2" t="s">
        <v>83</v>
      </c>
    </row>
    <row r="66" ht="88" customHeight="1" spans="1:7">
      <c r="A66" s="2" t="s">
        <v>434</v>
      </c>
      <c r="B66" s="2" t="s">
        <v>426</v>
      </c>
      <c r="C66" s="2" t="s">
        <v>75</v>
      </c>
      <c r="D66" s="2" t="s">
        <v>435</v>
      </c>
      <c r="E66" s="2" t="s">
        <v>428</v>
      </c>
      <c r="F66" s="2" t="s">
        <v>429</v>
      </c>
      <c r="G66" s="2" t="s">
        <v>83</v>
      </c>
    </row>
    <row r="67" ht="88" customHeight="1" spans="1:7">
      <c r="A67" s="2" t="s">
        <v>436</v>
      </c>
      <c r="B67" s="2" t="s">
        <v>426</v>
      </c>
      <c r="C67" s="2" t="s">
        <v>75</v>
      </c>
      <c r="D67" s="2" t="s">
        <v>437</v>
      </c>
      <c r="E67" s="2" t="s">
        <v>428</v>
      </c>
      <c r="F67" s="2" t="s">
        <v>429</v>
      </c>
      <c r="G67" s="2" t="s">
        <v>83</v>
      </c>
    </row>
    <row r="68" ht="88" customHeight="1" spans="1:7">
      <c r="A68" s="2" t="s">
        <v>438</v>
      </c>
      <c r="B68" s="2" t="s">
        <v>426</v>
      </c>
      <c r="C68" s="2" t="s">
        <v>75</v>
      </c>
      <c r="D68" s="2" t="s">
        <v>439</v>
      </c>
      <c r="E68" s="2" t="s">
        <v>428</v>
      </c>
      <c r="F68" s="2" t="s">
        <v>429</v>
      </c>
      <c r="G68" s="2" t="s">
        <v>83</v>
      </c>
    </row>
    <row r="69" ht="88" customHeight="1" spans="1:7">
      <c r="A69" s="2" t="s">
        <v>440</v>
      </c>
      <c r="B69" s="2" t="s">
        <v>426</v>
      </c>
      <c r="C69" s="2" t="s">
        <v>75</v>
      </c>
      <c r="D69" s="2" t="s">
        <v>441</v>
      </c>
      <c r="E69" s="2" t="s">
        <v>428</v>
      </c>
      <c r="F69" s="2" t="s">
        <v>429</v>
      </c>
      <c r="G69" s="2" t="s">
        <v>83</v>
      </c>
    </row>
    <row r="70" ht="88" customHeight="1" spans="1:7">
      <c r="A70" s="2" t="s">
        <v>442</v>
      </c>
      <c r="B70" s="2" t="s">
        <v>426</v>
      </c>
      <c r="C70" s="2" t="s">
        <v>75</v>
      </c>
      <c r="D70" s="2" t="s">
        <v>443</v>
      </c>
      <c r="E70" s="2" t="s">
        <v>428</v>
      </c>
      <c r="F70" s="2" t="s">
        <v>429</v>
      </c>
      <c r="G70" s="2" t="s">
        <v>83</v>
      </c>
    </row>
    <row r="71" ht="88" customHeight="1" spans="1:7">
      <c r="A71" s="2" t="s">
        <v>444</v>
      </c>
      <c r="B71" s="2" t="s">
        <v>426</v>
      </c>
      <c r="C71" s="2" t="s">
        <v>193</v>
      </c>
      <c r="D71" s="2" t="s">
        <v>445</v>
      </c>
      <c r="E71" s="2" t="s">
        <v>428</v>
      </c>
      <c r="F71" s="2" t="s">
        <v>429</v>
      </c>
      <c r="G71" s="2" t="s">
        <v>446</v>
      </c>
    </row>
    <row r="72" ht="88" customHeight="1" spans="1:7">
      <c r="A72" s="2" t="s">
        <v>447</v>
      </c>
      <c r="B72" s="2" t="s">
        <v>426</v>
      </c>
      <c r="C72" s="2" t="s">
        <v>193</v>
      </c>
      <c r="D72" s="2" t="s">
        <v>192</v>
      </c>
      <c r="E72" s="2" t="s">
        <v>428</v>
      </c>
      <c r="F72" s="2" t="s">
        <v>429</v>
      </c>
      <c r="G72" s="2" t="s">
        <v>446</v>
      </c>
    </row>
    <row r="73" ht="88" customHeight="1" spans="1:7">
      <c r="A73" s="2" t="s">
        <v>448</v>
      </c>
      <c r="B73" s="2" t="s">
        <v>426</v>
      </c>
      <c r="C73" s="2" t="s">
        <v>193</v>
      </c>
      <c r="D73" s="2" t="s">
        <v>449</v>
      </c>
      <c r="E73" s="2" t="s">
        <v>428</v>
      </c>
      <c r="F73" s="2" t="s">
        <v>429</v>
      </c>
      <c r="G73" s="2" t="s">
        <v>446</v>
      </c>
    </row>
    <row r="74" ht="88" customHeight="1" spans="1:7">
      <c r="A74" s="2" t="s">
        <v>450</v>
      </c>
      <c r="B74" s="2" t="s">
        <v>426</v>
      </c>
      <c r="C74" s="2" t="s">
        <v>193</v>
      </c>
      <c r="D74" s="2" t="s">
        <v>451</v>
      </c>
      <c r="E74" s="2" t="s">
        <v>428</v>
      </c>
      <c r="F74" s="2" t="s">
        <v>429</v>
      </c>
      <c r="G74" s="2" t="s">
        <v>446</v>
      </c>
    </row>
  </sheetData>
  <mergeCells count="2">
    <mergeCell ref="A1:G1"/>
    <mergeCell ref="A2:G3"/>
  </mergeCell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F86"/>
  </sheetPr>
  <dimension ref="A1:H23"/>
  <sheetViews>
    <sheetView showGridLines="0" workbookViewId="0">
      <pane ySplit="5" topLeftCell="A6" activePane="bottomLeft" state="frozen"/>
      <selection/>
      <selection pane="bottomLeft" activeCell="A1" sqref="A1:H1"/>
    </sheetView>
  </sheetViews>
  <sheetFormatPr defaultColWidth="9" defaultRowHeight="14" outlineLevelCol="7"/>
  <cols>
    <col min="1" max="1" width="15" customWidth="1"/>
    <col min="2" max="2" width="38" customWidth="1"/>
    <col min="3" max="3" width="35" customWidth="1"/>
    <col min="4" max="4" width="45" customWidth="1"/>
    <col min="5" max="6" width="75" customWidth="1"/>
    <col min="7" max="7" width="80" customWidth="1"/>
    <col min="8" max="8" width="70" customWidth="1"/>
  </cols>
  <sheetData>
    <row r="1" ht="34" customHeight="1" spans="1:8">
      <c r="A1" s="1" t="s">
        <v>452</v>
      </c>
      <c r="B1" s="1"/>
      <c r="C1" s="1"/>
      <c r="D1" s="1"/>
      <c r="E1" s="1"/>
      <c r="F1" s="1"/>
      <c r="G1" s="1"/>
      <c r="H1" s="1"/>
    </row>
    <row r="2" ht="24" customHeight="1" spans="1:8">
      <c r="A2" s="2" t="s">
        <v>453</v>
      </c>
      <c r="B2" s="2"/>
      <c r="C2" s="2"/>
      <c r="D2" s="2"/>
      <c r="E2" s="2"/>
      <c r="F2" s="2"/>
      <c r="G2" s="2"/>
      <c r="H2" s="2"/>
    </row>
    <row r="3" ht="24" customHeight="1" spans="1:8">
      <c r="A3" s="2"/>
      <c r="B3" s="2"/>
      <c r="C3" s="2"/>
      <c r="D3" s="2"/>
      <c r="E3" s="2"/>
      <c r="F3" s="2"/>
      <c r="G3" s="2"/>
      <c r="H3" s="2"/>
    </row>
    <row r="4" spans="1:8">
      <c r="A4" s="2"/>
      <c r="B4" s="2"/>
      <c r="C4" s="2"/>
      <c r="D4" s="2"/>
      <c r="E4" s="2"/>
      <c r="F4" s="2"/>
      <c r="G4" s="2"/>
      <c r="H4" s="2"/>
    </row>
    <row r="5" ht="44" customHeight="1" spans="1:8">
      <c r="A5" s="3" t="s">
        <v>454</v>
      </c>
      <c r="B5" s="3" t="s">
        <v>455</v>
      </c>
      <c r="C5" s="3" t="s">
        <v>456</v>
      </c>
      <c r="D5" s="3" t="s">
        <v>457</v>
      </c>
      <c r="E5" s="3" t="s">
        <v>458</v>
      </c>
      <c r="F5" s="3" t="s">
        <v>459</v>
      </c>
      <c r="G5" s="3" t="s">
        <v>460</v>
      </c>
      <c r="H5" s="3" t="s">
        <v>461</v>
      </c>
    </row>
    <row r="6" ht="88" customHeight="1" spans="1:8">
      <c r="A6" s="2" t="s">
        <v>71</v>
      </c>
      <c r="B6" s="2" t="s">
        <v>72</v>
      </c>
      <c r="C6" s="2" t="s">
        <v>80</v>
      </c>
      <c r="D6" s="2" t="s">
        <v>462</v>
      </c>
      <c r="E6" s="2" t="s">
        <v>463</v>
      </c>
      <c r="F6" s="2" t="s">
        <v>464</v>
      </c>
      <c r="G6" s="2" t="s">
        <v>465</v>
      </c>
      <c r="H6" s="2" t="s">
        <v>81</v>
      </c>
    </row>
    <row r="7" ht="88" customHeight="1" spans="1:8">
      <c r="A7" s="2" t="s">
        <v>84</v>
      </c>
      <c r="B7" s="2" t="s">
        <v>85</v>
      </c>
      <c r="C7" s="2" t="s">
        <v>89</v>
      </c>
      <c r="D7" s="2" t="s">
        <v>466</v>
      </c>
      <c r="E7" s="2" t="s">
        <v>467</v>
      </c>
      <c r="F7" s="2" t="s">
        <v>464</v>
      </c>
      <c r="G7" s="2" t="s">
        <v>465</v>
      </c>
      <c r="H7" s="2" t="s">
        <v>90</v>
      </c>
    </row>
    <row r="8" ht="88" customHeight="1" spans="1:8">
      <c r="A8" s="2" t="s">
        <v>92</v>
      </c>
      <c r="B8" s="2" t="s">
        <v>93</v>
      </c>
      <c r="C8" s="2" t="s">
        <v>98</v>
      </c>
      <c r="D8" s="2" t="s">
        <v>164</v>
      </c>
      <c r="E8" s="2" t="s">
        <v>468</v>
      </c>
      <c r="F8" s="2" t="s">
        <v>464</v>
      </c>
      <c r="G8" s="2" t="s">
        <v>465</v>
      </c>
      <c r="H8" s="2" t="s">
        <v>99</v>
      </c>
    </row>
    <row r="9" ht="88" customHeight="1" spans="1:8">
      <c r="A9" s="2" t="s">
        <v>101</v>
      </c>
      <c r="B9" s="2" t="s">
        <v>102</v>
      </c>
      <c r="C9" s="2" t="s">
        <v>106</v>
      </c>
      <c r="D9" s="2" t="s">
        <v>469</v>
      </c>
      <c r="E9" s="2" t="s">
        <v>470</v>
      </c>
      <c r="F9" s="2" t="s">
        <v>464</v>
      </c>
      <c r="G9" s="2" t="s">
        <v>465</v>
      </c>
      <c r="H9" s="2" t="s">
        <v>107</v>
      </c>
    </row>
    <row r="10" ht="88" customHeight="1" spans="1:8">
      <c r="A10" s="2" t="s">
        <v>109</v>
      </c>
      <c r="B10" s="2" t="s">
        <v>110</v>
      </c>
      <c r="C10" s="2" t="s">
        <v>115</v>
      </c>
      <c r="D10" s="2" t="s">
        <v>471</v>
      </c>
      <c r="E10" s="2" t="s">
        <v>472</v>
      </c>
      <c r="F10" s="2" t="s">
        <v>464</v>
      </c>
      <c r="G10" s="2" t="s">
        <v>465</v>
      </c>
      <c r="H10" s="2" t="s">
        <v>116</v>
      </c>
    </row>
    <row r="11" ht="88" customHeight="1" spans="1:8">
      <c r="A11" s="2" t="s">
        <v>118</v>
      </c>
      <c r="B11" s="2" t="s">
        <v>41</v>
      </c>
      <c r="C11" s="2" t="s">
        <v>123</v>
      </c>
      <c r="D11" s="2" t="s">
        <v>473</v>
      </c>
      <c r="E11" s="2" t="s">
        <v>474</v>
      </c>
      <c r="F11" s="2" t="s">
        <v>475</v>
      </c>
      <c r="G11" s="2" t="s">
        <v>465</v>
      </c>
      <c r="H11" s="2" t="s">
        <v>124</v>
      </c>
    </row>
    <row r="12" ht="88" customHeight="1" spans="1:8">
      <c r="A12" s="2" t="s">
        <v>126</v>
      </c>
      <c r="B12" s="2" t="s">
        <v>127</v>
      </c>
      <c r="C12" s="2" t="s">
        <v>132</v>
      </c>
      <c r="D12" s="2" t="s">
        <v>476</v>
      </c>
      <c r="E12" s="2" t="s">
        <v>477</v>
      </c>
      <c r="F12" s="2" t="s">
        <v>464</v>
      </c>
      <c r="G12" s="2" t="s">
        <v>465</v>
      </c>
      <c r="H12" s="2" t="s">
        <v>133</v>
      </c>
    </row>
    <row r="13" ht="88" customHeight="1" spans="1:8">
      <c r="A13" s="2" t="s">
        <v>135</v>
      </c>
      <c r="B13" s="2" t="s">
        <v>136</v>
      </c>
      <c r="C13" s="2" t="s">
        <v>142</v>
      </c>
      <c r="D13" s="2" t="s">
        <v>478</v>
      </c>
      <c r="E13" s="2" t="s">
        <v>479</v>
      </c>
      <c r="F13" s="2" t="s">
        <v>464</v>
      </c>
      <c r="G13" s="2" t="s">
        <v>465</v>
      </c>
      <c r="H13" s="2" t="s">
        <v>143</v>
      </c>
    </row>
    <row r="14" ht="88" customHeight="1" spans="1:8">
      <c r="A14" s="2" t="s">
        <v>146</v>
      </c>
      <c r="B14" s="2" t="s">
        <v>147</v>
      </c>
      <c r="C14" s="2" t="s">
        <v>151</v>
      </c>
      <c r="D14" s="2" t="s">
        <v>480</v>
      </c>
      <c r="E14" s="2" t="s">
        <v>479</v>
      </c>
      <c r="F14" s="2" t="s">
        <v>464</v>
      </c>
      <c r="G14" s="2" t="s">
        <v>465</v>
      </c>
      <c r="H14" s="2" t="s">
        <v>152</v>
      </c>
    </row>
    <row r="15" ht="88" customHeight="1" spans="1:8">
      <c r="A15" s="2" t="s">
        <v>154</v>
      </c>
      <c r="B15" s="2" t="s">
        <v>155</v>
      </c>
      <c r="C15" s="2" t="s">
        <v>142</v>
      </c>
      <c r="D15" s="2" t="s">
        <v>481</v>
      </c>
      <c r="E15" s="2" t="s">
        <v>482</v>
      </c>
      <c r="F15" s="2" t="s">
        <v>464</v>
      </c>
      <c r="G15" s="2" t="s">
        <v>465</v>
      </c>
      <c r="H15" s="2" t="s">
        <v>159</v>
      </c>
    </row>
    <row r="16" ht="88" customHeight="1" spans="1:8">
      <c r="A16" s="2" t="s">
        <v>190</v>
      </c>
      <c r="B16" s="2" t="s">
        <v>191</v>
      </c>
      <c r="C16" s="2" t="s">
        <v>196</v>
      </c>
      <c r="D16" s="2" t="s">
        <v>483</v>
      </c>
      <c r="E16" s="2" t="s">
        <v>484</v>
      </c>
      <c r="F16" s="2" t="s">
        <v>485</v>
      </c>
      <c r="G16" s="2" t="s">
        <v>465</v>
      </c>
      <c r="H16" s="2" t="s">
        <v>197</v>
      </c>
    </row>
    <row r="17" ht="88" customHeight="1" spans="1:8">
      <c r="A17" s="2" t="s">
        <v>199</v>
      </c>
      <c r="B17" s="2" t="s">
        <v>200</v>
      </c>
      <c r="C17" s="2" t="s">
        <v>204</v>
      </c>
      <c r="D17" s="2" t="s">
        <v>486</v>
      </c>
      <c r="E17" s="2" t="s">
        <v>487</v>
      </c>
      <c r="F17" s="2" t="s">
        <v>488</v>
      </c>
      <c r="G17" s="2" t="s">
        <v>465</v>
      </c>
      <c r="H17" s="2" t="s">
        <v>205</v>
      </c>
    </row>
    <row r="18" ht="88" customHeight="1" spans="1:8">
      <c r="A18" s="2" t="s">
        <v>207</v>
      </c>
      <c r="B18" s="2" t="s">
        <v>208</v>
      </c>
      <c r="C18" s="2" t="s">
        <v>212</v>
      </c>
      <c r="D18" s="2" t="s">
        <v>489</v>
      </c>
      <c r="E18" s="2" t="s">
        <v>490</v>
      </c>
      <c r="F18" s="2" t="s">
        <v>464</v>
      </c>
      <c r="G18" s="2" t="s">
        <v>465</v>
      </c>
      <c r="H18" s="2" t="s">
        <v>213</v>
      </c>
    </row>
    <row r="19" ht="88" customHeight="1" spans="1:8">
      <c r="A19" s="2" t="s">
        <v>215</v>
      </c>
      <c r="B19" s="2" t="s">
        <v>216</v>
      </c>
      <c r="C19" s="2" t="s">
        <v>220</v>
      </c>
      <c r="D19" s="2" t="s">
        <v>491</v>
      </c>
      <c r="E19" s="2" t="s">
        <v>492</v>
      </c>
      <c r="F19" s="2" t="s">
        <v>464</v>
      </c>
      <c r="G19" s="2" t="s">
        <v>465</v>
      </c>
      <c r="H19" s="2" t="s">
        <v>221</v>
      </c>
    </row>
    <row r="20" ht="88" customHeight="1" spans="1:8">
      <c r="A20" s="2" t="s">
        <v>223</v>
      </c>
      <c r="B20" s="2" t="s">
        <v>224</v>
      </c>
      <c r="C20" s="2" t="s">
        <v>220</v>
      </c>
      <c r="D20" s="2" t="s">
        <v>493</v>
      </c>
      <c r="E20" s="2" t="s">
        <v>494</v>
      </c>
      <c r="F20" s="2" t="s">
        <v>464</v>
      </c>
      <c r="G20" s="2" t="s">
        <v>465</v>
      </c>
      <c r="H20" s="2" t="s">
        <v>229</v>
      </c>
    </row>
    <row r="21" ht="88" customHeight="1" spans="1:8">
      <c r="A21" s="2" t="s">
        <v>231</v>
      </c>
      <c r="B21" s="2" t="s">
        <v>232</v>
      </c>
      <c r="C21" s="2" t="s">
        <v>237</v>
      </c>
      <c r="D21" s="2" t="s">
        <v>495</v>
      </c>
      <c r="E21" s="2" t="s">
        <v>496</v>
      </c>
      <c r="F21" s="2" t="s">
        <v>464</v>
      </c>
      <c r="G21" s="2" t="s">
        <v>465</v>
      </c>
      <c r="H21" s="2" t="s">
        <v>238</v>
      </c>
    </row>
    <row r="22" ht="88" customHeight="1" spans="1:8">
      <c r="A22" s="2" t="s">
        <v>240</v>
      </c>
      <c r="B22" s="2" t="s">
        <v>241</v>
      </c>
      <c r="C22" s="2" t="s">
        <v>246</v>
      </c>
      <c r="D22" s="2" t="s">
        <v>497</v>
      </c>
      <c r="E22" s="2" t="s">
        <v>498</v>
      </c>
      <c r="F22" s="2" t="s">
        <v>464</v>
      </c>
      <c r="G22" s="2" t="s">
        <v>465</v>
      </c>
      <c r="H22" s="2" t="s">
        <v>247</v>
      </c>
    </row>
    <row r="23" ht="88" customHeight="1" spans="1:8">
      <c r="A23" s="2" t="s">
        <v>249</v>
      </c>
      <c r="B23" s="2" t="s">
        <v>250</v>
      </c>
      <c r="C23" s="2" t="s">
        <v>255</v>
      </c>
      <c r="D23" s="2" t="s">
        <v>499</v>
      </c>
      <c r="E23" s="2" t="s">
        <v>500</v>
      </c>
      <c r="F23" s="2" t="s">
        <v>464</v>
      </c>
      <c r="G23" s="2" t="s">
        <v>465</v>
      </c>
      <c r="H23" s="2" t="s">
        <v>256</v>
      </c>
    </row>
  </sheetData>
  <mergeCells count="2">
    <mergeCell ref="A1:H1"/>
    <mergeCell ref="A2:H3"/>
  </mergeCells>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F86"/>
  </sheetPr>
  <dimension ref="A1:G21"/>
  <sheetViews>
    <sheetView showGridLines="0" tabSelected="1" workbookViewId="0">
      <pane ySplit="5" topLeftCell="A15" activePane="bottomLeft" state="frozen"/>
      <selection/>
      <selection pane="bottomLeft" activeCell="A1" sqref="A1:G1"/>
    </sheetView>
  </sheetViews>
  <sheetFormatPr defaultColWidth="9" defaultRowHeight="14" outlineLevelCol="6"/>
  <cols>
    <col min="1" max="1" width="14" customWidth="1"/>
    <col min="2" max="2" width="40" customWidth="1"/>
    <col min="3" max="3" width="90" customWidth="1"/>
    <col min="4" max="4" width="50" customWidth="1"/>
    <col min="5" max="5" width="90" customWidth="1"/>
    <col min="6" max="6" width="40" customWidth="1"/>
    <col min="7" max="7" width="75" customWidth="1"/>
  </cols>
  <sheetData>
    <row r="1" ht="34" customHeight="1" spans="1:7">
      <c r="A1" s="1" t="s">
        <v>501</v>
      </c>
      <c r="B1" s="1"/>
      <c r="C1" s="1"/>
      <c r="D1" s="1"/>
      <c r="E1" s="1"/>
      <c r="F1" s="1"/>
      <c r="G1" s="1"/>
    </row>
    <row r="2" ht="24" customHeight="1" spans="1:7">
      <c r="A2" s="2" t="s">
        <v>502</v>
      </c>
      <c r="B2" s="2"/>
      <c r="C2" s="2"/>
      <c r="D2" s="2"/>
      <c r="E2" s="2"/>
      <c r="F2" s="2"/>
      <c r="G2" s="2"/>
    </row>
    <row r="3" ht="24" customHeight="1" spans="1:7">
      <c r="A3" s="2"/>
      <c r="B3" s="2"/>
      <c r="C3" s="2"/>
      <c r="D3" s="2"/>
      <c r="E3" s="2"/>
      <c r="F3" s="2"/>
      <c r="G3" s="2"/>
    </row>
    <row r="4" spans="1:7">
      <c r="A4" s="2"/>
      <c r="B4" s="2"/>
      <c r="C4" s="2"/>
      <c r="D4" s="2"/>
      <c r="E4" s="2"/>
      <c r="F4" s="2"/>
      <c r="G4" s="2"/>
    </row>
    <row r="5" ht="44" customHeight="1" spans="1:7">
      <c r="A5" s="3" t="s">
        <v>503</v>
      </c>
      <c r="B5" s="3" t="s">
        <v>504</v>
      </c>
      <c r="C5" s="3" t="s">
        <v>505</v>
      </c>
      <c r="D5" s="3" t="s">
        <v>506</v>
      </c>
      <c r="E5" s="3" t="s">
        <v>507</v>
      </c>
      <c r="F5" s="3" t="s">
        <v>508</v>
      </c>
      <c r="G5" s="3" t="s">
        <v>509</v>
      </c>
    </row>
    <row r="6" ht="88" customHeight="1" spans="1:7">
      <c r="A6" s="2" t="s">
        <v>510</v>
      </c>
      <c r="B6" s="2" t="s">
        <v>511</v>
      </c>
      <c r="C6" s="2" t="s">
        <v>512</v>
      </c>
      <c r="D6" s="2" t="s">
        <v>513</v>
      </c>
      <c r="E6" s="2" t="s">
        <v>514</v>
      </c>
      <c r="F6" s="2" t="s">
        <v>515</v>
      </c>
      <c r="G6" s="2" t="s">
        <v>516</v>
      </c>
    </row>
    <row r="7" ht="88" customHeight="1" spans="1:7">
      <c r="A7" s="2" t="s">
        <v>517</v>
      </c>
      <c r="B7" s="2" t="s">
        <v>518</v>
      </c>
      <c r="C7" s="2" t="s">
        <v>519</v>
      </c>
      <c r="D7" s="2" t="s">
        <v>520</v>
      </c>
      <c r="E7" s="2" t="s">
        <v>521</v>
      </c>
      <c r="F7" s="2" t="s">
        <v>515</v>
      </c>
      <c r="G7" s="2" t="s">
        <v>522</v>
      </c>
    </row>
    <row r="8" ht="88" customHeight="1" spans="1:7">
      <c r="A8" s="2" t="s">
        <v>523</v>
      </c>
      <c r="B8" s="2" t="s">
        <v>524</v>
      </c>
      <c r="C8" s="2" t="s">
        <v>525</v>
      </c>
      <c r="D8" s="2" t="s">
        <v>526</v>
      </c>
      <c r="E8" s="2" t="s">
        <v>527</v>
      </c>
      <c r="F8" s="2" t="s">
        <v>515</v>
      </c>
      <c r="G8" s="2" t="s">
        <v>522</v>
      </c>
    </row>
    <row r="9" ht="88" customHeight="1" spans="1:7">
      <c r="A9" s="2" t="s">
        <v>528</v>
      </c>
      <c r="B9" s="2" t="s">
        <v>529</v>
      </c>
      <c r="C9" s="2" t="s">
        <v>530</v>
      </c>
      <c r="D9" s="2" t="s">
        <v>531</v>
      </c>
      <c r="E9" s="2" t="s">
        <v>532</v>
      </c>
      <c r="F9" s="2" t="s">
        <v>515</v>
      </c>
      <c r="G9" s="2" t="s">
        <v>533</v>
      </c>
    </row>
    <row r="10" ht="88" customHeight="1" spans="1:7">
      <c r="A10" s="2" t="s">
        <v>534</v>
      </c>
      <c r="B10" s="2" t="s">
        <v>535</v>
      </c>
      <c r="C10" s="2" t="s">
        <v>536</v>
      </c>
      <c r="D10" s="2" t="s">
        <v>537</v>
      </c>
      <c r="E10" s="2" t="s">
        <v>538</v>
      </c>
      <c r="F10" s="2" t="s">
        <v>539</v>
      </c>
      <c r="G10" s="2" t="s">
        <v>540</v>
      </c>
    </row>
    <row r="11" ht="88" customHeight="1" spans="1:7">
      <c r="A11" s="2" t="s">
        <v>541</v>
      </c>
      <c r="B11" s="2" t="s">
        <v>542</v>
      </c>
      <c r="C11" s="2" t="s">
        <v>543</v>
      </c>
      <c r="D11" s="2" t="s">
        <v>544</v>
      </c>
      <c r="E11" s="2" t="s">
        <v>545</v>
      </c>
      <c r="F11" s="2" t="s">
        <v>539</v>
      </c>
      <c r="G11" s="2" t="s">
        <v>546</v>
      </c>
    </row>
    <row r="12" ht="88" customHeight="1" spans="1:7">
      <c r="A12" s="2" t="s">
        <v>547</v>
      </c>
      <c r="B12" s="2" t="s">
        <v>548</v>
      </c>
      <c r="C12" s="2" t="s">
        <v>549</v>
      </c>
      <c r="D12" s="2" t="s">
        <v>550</v>
      </c>
      <c r="E12" s="2" t="s">
        <v>551</v>
      </c>
      <c r="F12" s="2" t="s">
        <v>552</v>
      </c>
      <c r="G12" s="2" t="s">
        <v>553</v>
      </c>
    </row>
    <row r="13" ht="88" customHeight="1" spans="1:7">
      <c r="A13" s="2" t="s">
        <v>554</v>
      </c>
      <c r="B13" s="2" t="s">
        <v>555</v>
      </c>
      <c r="C13" s="2" t="s">
        <v>556</v>
      </c>
      <c r="D13" s="2" t="s">
        <v>557</v>
      </c>
      <c r="E13" s="2" t="s">
        <v>558</v>
      </c>
      <c r="F13" s="2" t="s">
        <v>539</v>
      </c>
      <c r="G13" s="2" t="s">
        <v>559</v>
      </c>
    </row>
    <row r="14" ht="88" customHeight="1" spans="1:7">
      <c r="A14" s="2" t="s">
        <v>560</v>
      </c>
      <c r="B14" s="2" t="s">
        <v>561</v>
      </c>
      <c r="C14" s="2" t="s">
        <v>562</v>
      </c>
      <c r="D14" s="2" t="s">
        <v>563</v>
      </c>
      <c r="E14" s="2" t="s">
        <v>564</v>
      </c>
      <c r="F14" s="2" t="s">
        <v>552</v>
      </c>
      <c r="G14" s="2" t="s">
        <v>565</v>
      </c>
    </row>
    <row r="15" ht="88" customHeight="1" spans="1:7">
      <c r="A15" s="2" t="s">
        <v>566</v>
      </c>
      <c r="B15" s="2" t="s">
        <v>567</v>
      </c>
      <c r="C15" s="2" t="s">
        <v>568</v>
      </c>
      <c r="D15" s="2" t="s">
        <v>569</v>
      </c>
      <c r="E15" s="2" t="s">
        <v>570</v>
      </c>
      <c r="F15" s="2" t="s">
        <v>571</v>
      </c>
      <c r="G15" s="2" t="s">
        <v>572</v>
      </c>
    </row>
    <row r="18" ht="30" customHeight="1" spans="1:7">
      <c r="A18" s="4" t="s">
        <v>573</v>
      </c>
      <c r="B18" s="4"/>
      <c r="C18" s="4"/>
      <c r="D18" s="4"/>
      <c r="E18" s="4"/>
      <c r="F18" s="4"/>
      <c r="G18" s="4"/>
    </row>
    <row r="19" ht="30" customHeight="1" spans="1:7">
      <c r="A19" s="4"/>
      <c r="B19" s="4"/>
      <c r="C19" s="4"/>
      <c r="D19" s="4"/>
      <c r="E19" s="4"/>
      <c r="F19" s="4"/>
      <c r="G19" s="4"/>
    </row>
    <row r="20" ht="30" customHeight="1" spans="1:7">
      <c r="A20" s="4" t="s">
        <v>574</v>
      </c>
      <c r="B20" s="4"/>
      <c r="C20" s="4"/>
      <c r="D20" s="4"/>
      <c r="E20" s="4"/>
      <c r="F20" s="4"/>
      <c r="G20" s="4"/>
    </row>
    <row r="21" ht="30" customHeight="1" spans="1:7">
      <c r="A21" s="4"/>
      <c r="B21" s="4"/>
      <c r="C21" s="4"/>
      <c r="D21" s="4"/>
      <c r="E21" s="4"/>
      <c r="F21" s="4"/>
      <c r="G21" s="4"/>
    </row>
  </sheetData>
  <mergeCells count="4">
    <mergeCell ref="A1:G1"/>
    <mergeCell ref="A18:G18"/>
    <mergeCell ref="A2:G3"/>
    <mergeCell ref="A20:G21"/>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Portfolio summary</vt:lpstr>
      <vt:lpstr>Projects 40</vt:lpstr>
      <vt:lpstr>Companies</vt:lpstr>
      <vt:lpstr>Partners</vt:lpstr>
      <vt:lpstr>Milestones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HH</cp:lastModifiedBy>
  <dcterms:created xsi:type="dcterms:W3CDTF">2026-10-01T04:34:51Z</dcterms:created>
  <dcterms:modified xsi:type="dcterms:W3CDTF">2026-10-01T06:04:02Z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1B4B3A1E5D5C4A449054A4E779DE62F8_13</vt:lpwstr>
  </property>
  <property fmtid="{D5CDD505-2E9C-101B-9397-08002B2CF9AE}" pid="3" name="KSOProductBuildVer">
    <vt:lpwstr>1033-12.1.0.28485</vt:lpwstr>
  </property>
  <property fmtid="{D5CDD505-2E9C-101B-9397-08002B2CF9AE}" pid="4" name="CalculationRule">
    <vt:i4>0</vt:i4>
  </property>
</Properties>
</file>